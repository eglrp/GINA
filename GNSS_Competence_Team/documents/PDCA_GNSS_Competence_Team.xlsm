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W:\12_AS\C.Simulation\VMPS\10_Team\GNSS_Competence_Team\"/>
    </mc:Choice>
  </mc:AlternateContent>
  <bookViews>
    <workbookView xWindow="3675" yWindow="-15" windowWidth="28695" windowHeight="13260"/>
  </bookViews>
  <sheets>
    <sheet name="Zielblatt" sheetId="1" r:id="rId1"/>
    <sheet name="Tabellenwerte" sheetId="2" r:id="rId2"/>
    <sheet name="Erklärungen" sheetId="3" r:id="rId3"/>
    <sheet name="History" sheetId="5" r:id="rId4"/>
    <sheet name="EurotoolsXRates" sheetId="4" state="veryHidden" r:id="rId5"/>
  </sheets>
  <definedNames>
    <definedName name="ATSeXToEUR" localSheetId="3" hidden="1">1/History!EUReXToATS</definedName>
    <definedName name="ATSeXToEUR" hidden="1">1/EUReXToATS</definedName>
    <definedName name="BEFeXToEUR" localSheetId="3" hidden="1">1/History!EUReXToBEF</definedName>
    <definedName name="BEFeXToEUR" hidden="1">1/EUReXToBEF</definedName>
    <definedName name="DEMeXToEUR" localSheetId="3" hidden="1">1/History!EUReXToDEM</definedName>
    <definedName name="DEMeXToEUR" hidden="1">1/EUReXToDEM</definedName>
    <definedName name="Durchführng">"AutoForm 5"</definedName>
    <definedName name="Durchführung">"AutoForm 5"</definedName>
    <definedName name="Ende">"AutoForm 3"</definedName>
    <definedName name="ESPeXToEUR" localSheetId="3" hidden="1">1/History!EUReXToESP</definedName>
    <definedName name="ESPeXToEUR" hidden="1">1/EUReXToESP</definedName>
    <definedName name="EUReXToATS" localSheetId="3" hidden="1">#REF!</definedName>
    <definedName name="EUReXToATS" hidden="1">EurotoolsXRates!$A$5</definedName>
    <definedName name="EUReXToBEF" localSheetId="3" hidden="1">#REF!</definedName>
    <definedName name="EUReXToBEF" hidden="1">EurotoolsXRates!$A$6</definedName>
    <definedName name="EUReXToDEM" localSheetId="3" hidden="1">#REF!</definedName>
    <definedName name="EUReXToDEM" hidden="1">EurotoolsXRates!$A$7</definedName>
    <definedName name="EUReXToESP" localSheetId="3" hidden="1">#REF!</definedName>
    <definedName name="EUReXToESP" hidden="1">EurotoolsXRates!$A$8</definedName>
    <definedName name="EUReXToFIM" localSheetId="3" hidden="1">#REF!</definedName>
    <definedName name="EUReXToFIM" hidden="1">EurotoolsXRates!$A$9</definedName>
    <definedName name="EUReXToFRF" localSheetId="3" hidden="1">#REF!</definedName>
    <definedName name="EUReXToFRF" hidden="1">EurotoolsXRates!$A$10</definedName>
    <definedName name="EUReXToIEP" localSheetId="3" hidden="1">#REF!</definedName>
    <definedName name="EUReXToIEP" hidden="1">EurotoolsXRates!$A$11</definedName>
    <definedName name="EUReXToITL" localSheetId="3" hidden="1">#REF!</definedName>
    <definedName name="EUReXToITL" hidden="1">EurotoolsXRates!$A$12</definedName>
    <definedName name="EUReXToLUF" localSheetId="3" hidden="1">#REF!</definedName>
    <definedName name="EUReXToLUF" hidden="1">EurotoolsXRates!$A$13</definedName>
    <definedName name="EUReXToNLG" localSheetId="3" hidden="1">#REF!</definedName>
    <definedName name="EUReXToNLG" hidden="1">EurotoolsXRates!$A$14</definedName>
    <definedName name="EUReXToPTE" localSheetId="3" hidden="1">#REF!</definedName>
    <definedName name="EUReXToPTE" hidden="1">EurotoolsXRates!$A$15</definedName>
    <definedName name="FIMeXToEUR" localSheetId="3" hidden="1">1/History!EUReXToFIM</definedName>
    <definedName name="FIMeXToEUR" hidden="1">1/EUReXToFIM</definedName>
    <definedName name="FRFeXToEUR" localSheetId="3" hidden="1">1/History!EUReXToFRF</definedName>
    <definedName name="FRFeXToEUR" hidden="1">1/EUReXToFRF</definedName>
    <definedName name="gelb">"Ellipse 245"</definedName>
    <definedName name="grün">"Ellipse 246"</definedName>
    <definedName name="IEPeXToEUR" localSheetId="3" hidden="1">1/History!EUReXToIEP</definedName>
    <definedName name="IEPeXToEUR" hidden="1">1/EUReXToIEP</definedName>
    <definedName name="ITLeXToEUR" localSheetId="3" hidden="1">1/History!EUReXToITL</definedName>
    <definedName name="ITLeXToEUR" hidden="1">1/EUReXToITL</definedName>
    <definedName name="LUFeXToEUR" localSheetId="3" hidden="1">1/History!EUReXToLUF</definedName>
    <definedName name="LUFeXToEUR" hidden="1">1/EUReXToLUF</definedName>
    <definedName name="Meilenstein">"AutoForm 4"</definedName>
    <definedName name="NLGeXToEUR" localSheetId="3" hidden="1">1/History!EUReXToNLG</definedName>
    <definedName name="NLGeXToEUR" hidden="1">1/EUReXToNLG</definedName>
    <definedName name="_xlnm.Print_Area" localSheetId="2">Erklärungen!$A$1:$B$38</definedName>
    <definedName name="_xlnm.Print_Area" localSheetId="3">History!$A$1:$F$16</definedName>
    <definedName name="_xlnm.Print_Area" localSheetId="1">Tabellenwerte!$A$1:$O$7</definedName>
    <definedName name="_xlnm.Print_Area" localSheetId="0">Zielblatt!$A$1:$S$23</definedName>
    <definedName name="PTEeXToEUR" localSheetId="3" hidden="1">1/History!EUReXToPTE</definedName>
    <definedName name="PTEeXToEUR" hidden="1">1/EUReXToPTE</definedName>
    <definedName name="rot">"Ellipse 244"</definedName>
    <definedName name="Start">"AutoForm 2"</definedName>
  </definedNames>
  <calcPr calcId="152511"/>
</workbook>
</file>

<file path=xl/calcChain.xml><?xml version="1.0" encoding="utf-8"?>
<calcChain xmlns="http://schemas.openxmlformats.org/spreadsheetml/2006/main">
  <c r="R17" i="1" l="1"/>
  <c r="R18" i="1"/>
  <c r="B5" i="2" l="1"/>
  <c r="Y16" i="1"/>
  <c r="Y15" i="1"/>
  <c r="Y14" i="1"/>
  <c r="Y13" i="1"/>
  <c r="Y12" i="1"/>
  <c r="Y11" i="1"/>
  <c r="Y10" i="1"/>
  <c r="Y9" i="1"/>
  <c r="AC8" i="1"/>
  <c r="AD8" i="1"/>
  <c r="AE8" i="1"/>
  <c r="AF8" i="1"/>
  <c r="AG8" i="1"/>
  <c r="AH8" i="1"/>
  <c r="AI8" i="1"/>
  <c r="AJ8" i="1"/>
  <c r="AK8" i="1"/>
  <c r="AL8" i="1"/>
  <c r="AB8" i="1"/>
  <c r="AA8" i="1"/>
  <c r="X16" i="1" l="1"/>
  <c r="X15" i="1"/>
  <c r="X14" i="1"/>
  <c r="X13" i="1"/>
  <c r="X12" i="1"/>
  <c r="X11" i="1"/>
  <c r="X10" i="1"/>
  <c r="X9" i="1"/>
  <c r="AJ9" i="1" l="1"/>
  <c r="AB9" i="1"/>
  <c r="AA9" i="1"/>
  <c r="AH9" i="1"/>
  <c r="AF9" i="1"/>
  <c r="AE9" i="1"/>
  <c r="AD9" i="1"/>
  <c r="AK9" i="1"/>
  <c r="AI9" i="1"/>
  <c r="AG9" i="1"/>
  <c r="AL9" i="1"/>
  <c r="AC9" i="1"/>
  <c r="AF14" i="1"/>
  <c r="AL14" i="1"/>
  <c r="AD14" i="1"/>
  <c r="AJ14" i="1"/>
  <c r="AA14" i="1"/>
  <c r="AH14" i="1"/>
  <c r="AK14" i="1"/>
  <c r="AC14" i="1"/>
  <c r="AB14" i="1"/>
  <c r="AI14" i="1"/>
  <c r="AG14" i="1"/>
  <c r="AE14" i="1"/>
  <c r="AF16" i="1"/>
  <c r="AL16" i="1"/>
  <c r="AD16" i="1"/>
  <c r="AB16" i="1"/>
  <c r="AI16" i="1"/>
  <c r="AG16" i="1"/>
  <c r="AK16" i="1"/>
  <c r="AC16" i="1"/>
  <c r="AJ16" i="1"/>
  <c r="AA16" i="1"/>
  <c r="AH16" i="1"/>
  <c r="AE16" i="1"/>
  <c r="AF10" i="1"/>
  <c r="AL10" i="1"/>
  <c r="AD10" i="1"/>
  <c r="AJ10" i="1"/>
  <c r="AI10" i="1"/>
  <c r="AH10" i="1"/>
  <c r="AK10" i="1"/>
  <c r="AC10" i="1"/>
  <c r="AB10" i="1"/>
  <c r="AA10" i="1"/>
  <c r="AG10" i="1"/>
  <c r="AE10" i="1"/>
  <c r="AJ11" i="1"/>
  <c r="AB11" i="1"/>
  <c r="AA11" i="1"/>
  <c r="AH11" i="1"/>
  <c r="AL11" i="1"/>
  <c r="AC11" i="1"/>
  <c r="AI11" i="1"/>
  <c r="AG11" i="1"/>
  <c r="AF11" i="1"/>
  <c r="AE11" i="1"/>
  <c r="AD11" i="1"/>
  <c r="AK11" i="1"/>
  <c r="AF12" i="1"/>
  <c r="AL12" i="1"/>
  <c r="AD12" i="1"/>
  <c r="AB12" i="1"/>
  <c r="AA12" i="1"/>
  <c r="AG12" i="1"/>
  <c r="AK12" i="1"/>
  <c r="AC12" i="1"/>
  <c r="AJ12" i="1"/>
  <c r="AI12" i="1"/>
  <c r="AH12" i="1"/>
  <c r="AE12" i="1"/>
  <c r="AJ13" i="1"/>
  <c r="AB13" i="1"/>
  <c r="AA13" i="1"/>
  <c r="AH13" i="1"/>
  <c r="AF13" i="1"/>
  <c r="AD13" i="1"/>
  <c r="AK13" i="1"/>
  <c r="AI13" i="1"/>
  <c r="AG13" i="1"/>
  <c r="AE13" i="1"/>
  <c r="AL13" i="1"/>
  <c r="AC13" i="1"/>
  <c r="AJ15" i="1"/>
  <c r="AB15" i="1"/>
  <c r="AA15" i="1"/>
  <c r="AH15" i="1"/>
  <c r="AE15" i="1"/>
  <c r="AL15" i="1"/>
  <c r="AC15" i="1"/>
  <c r="AI15" i="1"/>
  <c r="AG15" i="1"/>
  <c r="AF15" i="1"/>
  <c r="AD15" i="1"/>
  <c r="AK15" i="1"/>
  <c r="AK17" i="1" l="1"/>
  <c r="AE17" i="1"/>
  <c r="AH17" i="1"/>
  <c r="AL17" i="1"/>
  <c r="AA17" i="1"/>
  <c r="AD17" i="1"/>
  <c r="AF17" i="1"/>
  <c r="AC17" i="1"/>
  <c r="AG17" i="1"/>
  <c r="AB17" i="1"/>
  <c r="AB18" i="1" s="1"/>
  <c r="AI17" i="1"/>
  <c r="AJ17" i="1"/>
  <c r="AC18" i="1" l="1"/>
  <c r="AD18" i="1" s="1"/>
  <c r="AE18" i="1" s="1"/>
  <c r="AF18" i="1" s="1"/>
  <c r="AG18" i="1" s="1"/>
  <c r="AH18" i="1" s="1"/>
  <c r="AI18" i="1" s="1"/>
  <c r="AJ18" i="1" s="1"/>
  <c r="AK18" i="1" s="1"/>
  <c r="AL18" i="1" s="1"/>
  <c r="F7" i="1"/>
  <c r="S7" i="1"/>
  <c r="D19" i="1"/>
  <c r="E19" i="1" l="1"/>
  <c r="A1" i="2"/>
  <c r="C4" i="2"/>
  <c r="A2" i="5"/>
  <c r="B6" i="2"/>
  <c r="B15" i="4"/>
  <c r="B14" i="4"/>
  <c r="B13" i="4"/>
  <c r="B12" i="4"/>
  <c r="B11" i="4"/>
  <c r="B10" i="4"/>
  <c r="B9" i="4"/>
  <c r="B8" i="4"/>
  <c r="B7" i="4"/>
  <c r="B6" i="4"/>
  <c r="B5" i="4"/>
  <c r="D4" i="2" l="1"/>
  <c r="E4" i="2" s="1"/>
  <c r="F4" i="2" s="1"/>
  <c r="G4" i="2" s="1"/>
  <c r="H4" i="2" s="1"/>
  <c r="I4" i="2" s="1"/>
  <c r="J4" i="2" s="1"/>
  <c r="K4" i="2" s="1"/>
  <c r="L4" i="2" s="1"/>
  <c r="M4" i="2" s="1"/>
  <c r="N4" i="2" s="1"/>
  <c r="D3" i="2"/>
  <c r="H3" i="2"/>
  <c r="G3" i="2"/>
  <c r="K3" i="2"/>
  <c r="J3" i="2"/>
  <c r="E3" i="2"/>
  <c r="I3" i="2"/>
  <c r="M3" i="2"/>
  <c r="L3" i="2"/>
  <c r="F3" i="2"/>
  <c r="N3" i="2"/>
  <c r="B3" i="2"/>
  <c r="C3" i="2"/>
  <c r="C2" i="2" l="1"/>
  <c r="N8" i="1"/>
  <c r="Q8" i="1"/>
  <c r="P8" i="1"/>
  <c r="G8" i="1"/>
  <c r="O8" i="1"/>
  <c r="M8" i="1"/>
  <c r="K8" i="1"/>
  <c r="I8" i="1"/>
  <c r="L8" i="1"/>
  <c r="F8" i="1"/>
  <c r="H8" i="1"/>
  <c r="J8" i="1"/>
  <c r="D2" i="2" l="1"/>
  <c r="G2" i="2"/>
  <c r="L2" i="2"/>
  <c r="H2" i="2"/>
  <c r="K2" i="2"/>
  <c r="J2" i="2"/>
  <c r="F2" i="2"/>
  <c r="B2" i="2"/>
  <c r="E2" i="2"/>
  <c r="I2" i="2"/>
  <c r="M2" i="2"/>
  <c r="N2" i="2"/>
  <c r="O7" i="2" l="1"/>
  <c r="V6" i="1" s="1"/>
  <c r="O3" i="2"/>
  <c r="C3" i="1" s="1"/>
  <c r="R16" i="1"/>
  <c r="R15" i="1" l="1"/>
  <c r="R14" i="1" l="1"/>
  <c r="R13" i="1"/>
  <c r="R12" i="1"/>
  <c r="R9" i="1"/>
  <c r="R11" i="1"/>
  <c r="O6" i="2"/>
  <c r="V5" i="1" s="1"/>
  <c r="O5" i="2"/>
  <c r="V4" i="1" s="1"/>
</calcChain>
</file>

<file path=xl/comments1.xml><?xml version="1.0" encoding="utf-8"?>
<comments xmlns="http://schemas.openxmlformats.org/spreadsheetml/2006/main">
  <authors>
    <author>lci2si</author>
    <author>Lupsic Balazs (CC-AS/ENG-Bp)</author>
  </authors>
  <commentList>
    <comment ref="C1" authorId="0" shapeId="0">
      <text>
        <r>
          <rPr>
            <b/>
            <sz val="9"/>
            <color indexed="81"/>
            <rFont val="Tahoma"/>
            <family val="2"/>
          </rPr>
          <t>current year</t>
        </r>
      </text>
    </comment>
    <comment ref="B9" authorId="1" shapeId="0">
      <text>
        <r>
          <rPr>
            <b/>
            <sz val="9"/>
            <color indexed="81"/>
            <rFont val="Tahoma"/>
            <charset val="1"/>
          </rPr>
          <t>Lupsic Balazs (CC-AS/ENG-Bp):</t>
        </r>
        <r>
          <rPr>
            <sz val="9"/>
            <color indexed="81"/>
            <rFont val="Tahoma"/>
            <charset val="1"/>
          </rPr>
          <t xml:space="preserve">
Implement a pseudo range based navigation algorithm with iterative least square method.
Target library shall be the GPSTK and Eigen libs. Target language is C/C++
Goal of this project to get familiar with the relevant library features and the basic navigation algorithm.
Later upgrade the this solution with Kalman filter. We shall create a Kalman filter and observe its behaviour.
</t>
        </r>
      </text>
    </comment>
    <comment ref="B10" authorId="1" shapeId="0">
      <text>
        <r>
          <rPr>
            <b/>
            <sz val="9"/>
            <color indexed="81"/>
            <rFont val="Tahoma"/>
            <charset val="1"/>
          </rPr>
          <t>Lupsic Balazs (CC-AS/ENG-Bp):</t>
        </r>
        <r>
          <rPr>
            <sz val="9"/>
            <color indexed="81"/>
            <rFont val="Tahoma"/>
            <charset val="1"/>
          </rPr>
          <t xml:space="preserve">
Implement a pseudo range based navigation algorithm with iterative least square method.
Target library shall be the GPSTK and Eigen libs. Target language is C/C++
Goal of this project to get familiar with the relevant library features and the basic navigation algorithm.
Later upgrade the this solution with Kalman filter. We shall create a Kalman filter and observe its behaviour.</t>
        </r>
      </text>
    </comment>
    <comment ref="B11" authorId="1" shapeId="0">
      <text>
        <r>
          <rPr>
            <b/>
            <sz val="9"/>
            <color indexed="81"/>
            <rFont val="Tahoma"/>
            <charset val="1"/>
          </rPr>
          <t>Lupsic Balazs (CC-AS/ENG-Bp):</t>
        </r>
        <r>
          <rPr>
            <sz val="9"/>
            <color indexed="81"/>
            <rFont val="Tahoma"/>
            <charset val="1"/>
          </rPr>
          <t xml:space="preserve">
Implement a differential GNSS solution in a static scenario. Select two relatively close rinex measurement station from igs web page (http://www.igs.org/rts). One is the base station other is the rover. 
The description will be updated short before the project starts</t>
        </r>
      </text>
    </comment>
    <comment ref="B12" authorId="1" shapeId="0">
      <text>
        <r>
          <rPr>
            <b/>
            <sz val="9"/>
            <color indexed="81"/>
            <rFont val="Tahoma"/>
            <charset val="1"/>
          </rPr>
          <t>Lupsic Balazs (CC-AS/ENG-Bp):</t>
        </r>
        <r>
          <rPr>
            <sz val="9"/>
            <color indexed="81"/>
            <rFont val="Tahoma"/>
            <charset val="1"/>
          </rPr>
          <t xml:space="preserve">
Implement a ambiguity solution in a static scenario.
Ambiguity resolution. Float solution.
Ambiguity resolution. Integer fixing.
The description will be updated short before the project starts</t>
        </r>
      </text>
    </comment>
    <comment ref="B13" authorId="1" shapeId="0">
      <text>
        <r>
          <rPr>
            <b/>
            <sz val="9"/>
            <color indexed="81"/>
            <rFont val="Tahoma"/>
            <charset val="1"/>
          </rPr>
          <t>Lupsic Balazs (CC-AS/ENG-Bp):</t>
        </r>
        <r>
          <rPr>
            <sz val="9"/>
            <color indexed="81"/>
            <rFont val="Tahoma"/>
            <charset val="1"/>
          </rPr>
          <t xml:space="preserve">
Implement a basic RAIM algorithm. 
Investigate to a more advanced RAIM algorithms.
Investigate a possible integrity algorithms
The description will be updated short before the project starts</t>
        </r>
      </text>
    </comment>
    <comment ref="B14" authorId="1" shapeId="0">
      <text>
        <r>
          <rPr>
            <b/>
            <sz val="9"/>
            <color indexed="81"/>
            <rFont val="Tahoma"/>
            <family val="2"/>
            <charset val="238"/>
          </rPr>
          <t>Lupsic Balazs (CC-AS/ENG-Bp):</t>
        </r>
        <r>
          <rPr>
            <sz val="9"/>
            <color indexed="81"/>
            <rFont val="Tahoma"/>
            <family val="2"/>
            <charset val="238"/>
          </rPr>
          <t xml:space="preserve">
Learn the usage of the u-blox development board. How to log data. How to convert it to a more flexible format. Calculate a solution from the logged data.
u-blox dev boards. One is the base station, another is the rover. Log the data, and calculate a DGNSS solution offline.
Ambiguity filtering with the help of the u-blox dev boards.
The description will be updated short before the project starts</t>
        </r>
      </text>
    </comment>
    <comment ref="B15" authorId="1" shapeId="0">
      <text>
        <r>
          <rPr>
            <b/>
            <sz val="9"/>
            <color indexed="81"/>
            <rFont val="Tahoma"/>
            <family val="2"/>
            <charset val="238"/>
          </rPr>
          <t>Lupsic Balazs (CC-AS/ENG-Bp):</t>
        </r>
        <r>
          <rPr>
            <sz val="9"/>
            <color indexed="81"/>
            <rFont val="Tahoma"/>
            <family val="2"/>
            <charset val="238"/>
          </rPr>
          <t xml:space="preserve">
Satellite position/velocity calculation from ephemeris in case of GPS, Galileo, GLONASS.
Fit an ephemeris set to a given satellite trajectory in case of GPS, Galileo and GLONASS.  
The description will be updated short before the project starts</t>
        </r>
      </text>
    </comment>
    <comment ref="B16" authorId="1" shapeId="0">
      <text>
        <r>
          <rPr>
            <b/>
            <sz val="9"/>
            <color indexed="81"/>
            <rFont val="Tahoma"/>
            <family val="2"/>
            <charset val="238"/>
          </rPr>
          <t>Lupsic Balazs (CC-AS/ENG-Bp):</t>
        </r>
        <r>
          <rPr>
            <sz val="9"/>
            <color indexed="81"/>
            <rFont val="Tahoma"/>
            <family val="2"/>
            <charset val="238"/>
          </rPr>
          <t xml:space="preserve">
Update the GNSS Simulator. Code clean and new features.
The description will be updated short before the project starts</t>
        </r>
      </text>
    </comment>
  </commentList>
</comments>
</file>

<file path=xl/sharedStrings.xml><?xml version="1.0" encoding="utf-8"?>
<sst xmlns="http://schemas.openxmlformats.org/spreadsheetml/2006/main" count="264" uniqueCount="209">
  <si>
    <t xml:space="preserve"> wortlich</t>
  </si>
  <si>
    <t>Grün</t>
  </si>
  <si>
    <t>Gelb</t>
  </si>
  <si>
    <t>Rot</t>
  </si>
  <si>
    <t>Zielentfaltung</t>
  </si>
  <si>
    <t>PDCA-Anwendung</t>
  </si>
  <si>
    <t>Anleitung zur Handhabung des PDCA-Blattes</t>
  </si>
  <si>
    <t>Beginnen Sie bitte immer mit einer Kopie des leeren Formblattes, keine Kopie eines bestehenden PDCA-Blattes.</t>
  </si>
  <si>
    <t>Definition der Ampelfarben</t>
  </si>
  <si>
    <t xml:space="preserve">Das PDCA-Blatt kann mit der MS-Excel-Anwendung bearbeitet werden. </t>
  </si>
  <si>
    <t>Ein ausgedrucktes Leerblatt kann von Hand bearbeitet werden.</t>
  </si>
  <si>
    <t>Bitte verändern Sie das Blatt und die Anwendung nicht.</t>
  </si>
  <si>
    <t xml:space="preserve"> </t>
  </si>
  <si>
    <t xml:space="preserve">PDCA (Plan, Do, Check, Act) dient der Planung, der Durchführung, dem Controlling und der Visualisierung von Zielen, Maßnahmen und der Zielerreichung. </t>
  </si>
  <si>
    <t>Status</t>
  </si>
  <si>
    <t>EUR</t>
  </si>
  <si>
    <t>#,##0.00 "EUR"</t>
  </si>
  <si>
    <t>Factor</t>
  </si>
  <si>
    <t>0.00</t>
  </si>
  <si>
    <t>ATS</t>
  </si>
  <si>
    <t>#,##0.00 "ATS"</t>
  </si>
  <si>
    <t>BEF</t>
  </si>
  <si>
    <t>#,##0.00 "BEF"</t>
  </si>
  <si>
    <t>DEM</t>
  </si>
  <si>
    <t>#,##0.00 "DEM"</t>
  </si>
  <si>
    <t>ESP</t>
  </si>
  <si>
    <t>#,##0.00 "ESP"</t>
  </si>
  <si>
    <t>FIM</t>
  </si>
  <si>
    <t>#,##0.00 "FIM"</t>
  </si>
  <si>
    <t>FRF</t>
  </si>
  <si>
    <t>#,##0.00 "FRF"</t>
  </si>
  <si>
    <t>IEP</t>
  </si>
  <si>
    <t>#,##0.00 "IEP"</t>
  </si>
  <si>
    <t>ITL</t>
  </si>
  <si>
    <t>#,##0.00 "ITL"</t>
  </si>
  <si>
    <t>LUF</t>
  </si>
  <si>
    <t>#,##0.00 "LUF"</t>
  </si>
  <si>
    <t>NLG</t>
  </si>
  <si>
    <t>#,##0.00 "NLG"</t>
  </si>
  <si>
    <t>PTE</t>
  </si>
  <si>
    <t>#,##0.00 "PTE"</t>
  </si>
  <si>
    <t>Tragen Sie die Maßnahmen, den Verantwortlichen und den jeweiligen Beitrag zum Ziel in Prozent ein. Achten Sie bitte auf die Textlänge.</t>
  </si>
  <si>
    <t>Die Beurteilung der Zielerreichung erfolgt durch den jeweiligen Prozessverantwortlichen.</t>
  </si>
  <si>
    <t>Zielerreichung zum aktuellen Zeitpunkt gesichert, Messwert/Projekt in Zielkorridor. Keine Eskalation.</t>
  </si>
  <si>
    <t>1</t>
  </si>
  <si>
    <t>2</t>
  </si>
  <si>
    <t>3</t>
  </si>
  <si>
    <t>4</t>
  </si>
  <si>
    <t>5</t>
  </si>
  <si>
    <t>6</t>
  </si>
  <si>
    <t>aktuell</t>
  </si>
  <si>
    <t>△</t>
  </si>
  <si>
    <t>▽</t>
  </si>
  <si>
    <t>◇</t>
  </si>
  <si>
    <t>▲</t>
  </si>
  <si>
    <t>▼</t>
  </si>
  <si>
    <t>◆</t>
  </si>
  <si>
    <t>Messwert/Projekt um bis zu 10% außerhalb Zielkorridor. Ziel ist gefährdet, aber noch erreichbar. Maßnahmen sind eingeleitet. 
Eskalation: Information des Vorgesetzten über Stand Zielerreichung und erwartete Wirkung Zusatzmaßnahmen.</t>
  </si>
  <si>
    <t>Messwert/Projekt mehr als 10% außerhalb Zielkorridor. Ziel nicht erreichbar, eigene Gegenmaßnahmen sind ausgeschöpft, weitere Maßnahmen überschreiten eigene Kompetenz und Ressourcen, fremde Hilfe oder Zielanpassung erforderlich.
Eskalation: Unmittelbar nach Erkennen entsprechend Eskalationsweg. Vorschläge für Zusatzmaßnahmen außerhalb eigener Entscheidungsbefugnis vorlegen. Keine Rückdelegation des Review-Gremiums.</t>
  </si>
  <si>
    <t>Die Ampel wird automatisch in Abhängigkeit des aktuellen Messwertes gesetzt.</t>
  </si>
  <si>
    <t>Den Status Ende des Vorjahres und die aktuellen Monatswerte sind dann in der Zeile Status einzutragen.</t>
  </si>
  <si>
    <t>Es ist durchaus möglich, diese Werte bei Bedarf durch Handeintrag zu überschreiben. Dazu kann bei Verschiebung des Endetermins und / oder des Meilensteins in das neue Jahr der Termin in Spalte Q und R entsprechend korrigiert werden. Der Beitrag jeder Maßnahme an der Messgröße kann manuell über die Monate verteilt darzustellen.</t>
  </si>
  <si>
    <t>Liegt der Meilenstein (Maßnahme voll wirksam) erst im folgenden Jahr, so kann dieser Termin in Spalte R eingetragen werden.</t>
  </si>
  <si>
    <t xml:space="preserve">Die Planlinie wird als Summe der einzelnen Beiträge der Maßnahmen aufgebaut (unter Berücksichtigung des Startwertes = Vorjahreswert). Anhand des Endetermins und des Meilensteins (Maßnahme voll wirksam) sind die Beiträge der Maßnahmen zum Ziel vorbelegt. </t>
  </si>
  <si>
    <t>Tragen Sie in die entsprechenden Zellen Ziel, Bereich, Beschreibung, Messgröße und Monat ein.</t>
  </si>
  <si>
    <t xml:space="preserve">Der Zeitplan für die Maßnahmen wird mittels der Pull-down-Menüs geplant und verfolgt (Start, Durchführung, Ende, gestartet, durchgeführt, beendet, Meilenstein). </t>
  </si>
  <si>
    <r>
      <t xml:space="preserve">Die Eingabefelder für das Diagramm (aktuelle Messwerte) befinden sich in dem Blatt </t>
    </r>
    <r>
      <rPr>
        <b/>
        <sz val="12"/>
        <rFont val="Arial"/>
        <family val="2"/>
      </rPr>
      <t>Tabellenwerte</t>
    </r>
    <r>
      <rPr>
        <sz val="12"/>
        <rFont val="Arial"/>
        <family val="2"/>
      </rPr>
      <t xml:space="preserve"> und sind dort auszufüllen.</t>
    </r>
  </si>
  <si>
    <t>A1</t>
  </si>
  <si>
    <t>Zelle</t>
  </si>
  <si>
    <t>C1</t>
  </si>
  <si>
    <t>A2</t>
  </si>
  <si>
    <t>B2</t>
  </si>
  <si>
    <t>A5</t>
  </si>
  <si>
    <t>C4</t>
  </si>
  <si>
    <t>Grafik</t>
  </si>
  <si>
    <t>Tabellenwerte!B7</t>
  </si>
  <si>
    <t>Tabellenwerte!C7:N7</t>
  </si>
  <si>
    <t>B3</t>
  </si>
  <si>
    <t>CSI</t>
  </si>
  <si>
    <t>ASI</t>
  </si>
  <si>
    <t>14a</t>
  </si>
  <si>
    <t>14b</t>
  </si>
  <si>
    <t>Template Version</t>
  </si>
  <si>
    <t>version</t>
  </si>
  <si>
    <t>date</t>
  </si>
  <si>
    <t>change description</t>
  </si>
  <si>
    <t>author</t>
  </si>
  <si>
    <t>released by</t>
  </si>
  <si>
    <t>release date</t>
  </si>
  <si>
    <t>Galm</t>
  </si>
  <si>
    <t>PDCA-Chart</t>
  </si>
  <si>
    <t>1.5</t>
  </si>
  <si>
    <t>- VV249: Status der Maßnahmen wird automatisch anhand der eingestellten Termine (auch relativ zum jeweils aktuellen Datum) gesetzt.
- Sind Maßnahmen geplant mit einem Beitrag kleiner 100% aber größer/gleich 90%, so wird das Feld "Summe" nicht rot, sondern gelb gekennzeichnet.
- Umstellung auf CC-Kategorien</t>
  </si>
  <si>
    <t>1.41</t>
  </si>
  <si>
    <t xml:space="preserve">Monat wird im Zielblatt automatisch gesetzt </t>
  </si>
  <si>
    <t>1.4</t>
  </si>
  <si>
    <t>Grundlegende Überarbeitung</t>
  </si>
  <si>
    <t>CC/EPH</t>
  </si>
  <si>
    <t>CC/EPH1</t>
  </si>
  <si>
    <t>1.51</t>
  </si>
  <si>
    <t>1.52</t>
  </si>
  <si>
    <t>Inkonsistenzen in Spalte O des Tabellenblattes "Tabellenwerte" behoben:
Bei Eingabe von Messwerten bei mehreren nicht aufeinander folgenden Monaten wurde das Datum und der aktuelle Messwert falsch ermittelt.</t>
  </si>
  <si>
    <t>Ist kein Ende der Maßnahme geplant, aber ein Meilenstein geplant, so wird die Maßnahme mit Erreichen des Meilensteins als wirksam eingeplant.
Ist als Messwert "n.a." eingetragen, so wird die Ampel auf Grün gesetzt.</t>
  </si>
  <si>
    <t>CC-PS/EPH</t>
  </si>
  <si>
    <t>Dep.</t>
  </si>
  <si>
    <t>Month</t>
  </si>
  <si>
    <t>Measures</t>
  </si>
  <si>
    <t>%</t>
  </si>
  <si>
    <t>act</t>
  </si>
  <si>
    <t>plan</t>
  </si>
  <si>
    <t>goal</t>
  </si>
  <si>
    <t>start</t>
  </si>
  <si>
    <t>end</t>
  </si>
  <si>
    <t>effective</t>
  </si>
  <si>
    <t>status measure:</t>
  </si>
  <si>
    <t>measure on track</t>
  </si>
  <si>
    <t>implementation critical</t>
  </si>
  <si>
    <t>implementation stopped</t>
  </si>
  <si>
    <t>goal on track</t>
  </si>
  <si>
    <t>goal deviation &lt; 10%</t>
  </si>
  <si>
    <t>goal deviation &gt;10%</t>
  </si>
  <si>
    <t>Overall Status</t>
  </si>
  <si>
    <t>total</t>
  </si>
  <si>
    <t>plan:</t>
  </si>
  <si>
    <t>done:</t>
  </si>
  <si>
    <t>status goal (GYR):</t>
  </si>
  <si>
    <t>green</t>
  </si>
  <si>
    <t>yellow</t>
  </si>
  <si>
    <t>red</t>
  </si>
  <si>
    <t>current</t>
  </si>
  <si>
    <t>Description / Measurement                                      Target:</t>
  </si>
  <si>
    <t>Quality</t>
  </si>
  <si>
    <t>Growth</t>
  </si>
  <si>
    <t>Profit</t>
  </si>
  <si>
    <t>Loyality</t>
  </si>
  <si>
    <t>Qualifications</t>
  </si>
  <si>
    <t>Safe &amp; comfortable driving</t>
  </si>
  <si>
    <t>Results specific to location</t>
  </si>
  <si>
    <t>DO NOT CHANGE BELOW</t>
  </si>
  <si>
    <t>D4</t>
  </si>
  <si>
    <t>B9:B17</t>
  </si>
  <si>
    <t>C9:C17</t>
  </si>
  <si>
    <t>D9:D17</t>
  </si>
  <si>
    <t>E18</t>
  </si>
  <si>
    <t>S9:S17</t>
  </si>
  <si>
    <t>P11:R19</t>
  </si>
  <si>
    <t>C11:N19</t>
  </si>
  <si>
    <t>F9:Q17</t>
  </si>
  <si>
    <t>R1</t>
  </si>
  <si>
    <t>1.53</t>
  </si>
  <si>
    <t>Allgemeine Überarbeitung</t>
  </si>
  <si>
    <t>Oberndörfer</t>
  </si>
  <si>
    <t>7a</t>
  </si>
  <si>
    <t>7b</t>
  </si>
  <si>
    <t>★</t>
  </si>
  <si>
    <t>☆</t>
  </si>
  <si>
    <t>milestone</t>
  </si>
  <si>
    <t>select Goal-category</t>
  </si>
  <si>
    <t>update target-year</t>
  </si>
  <si>
    <t>enter Goal-number</t>
  </si>
  <si>
    <t>enter department, group or team of the Goal-owner (e.g. CC-PS/EPH3)</t>
  </si>
  <si>
    <t>enter description of the Goal and the measurement-algorithm</t>
  </si>
  <si>
    <t>enter Goal-description in title</t>
  </si>
  <si>
    <t>enter target-value for end of the year (%)</t>
  </si>
  <si>
    <t>enter target-value for end of the year (measured value)</t>
  </si>
  <si>
    <t>adapt y-axis if necessary (depending on measured values)</t>
  </si>
  <si>
    <t>define measures for Goal-achievement</t>
  </si>
  <si>
    <t>define responsibles for measures</t>
  </si>
  <si>
    <t>define contribution of each measure for total Goal-achievement</t>
  </si>
  <si>
    <t>sum of all measure-contributions should be &gt;=100%; otherwise risk for Goal-achievement</t>
  </si>
  <si>
    <t>define timing of each measure:
- use start/end/effective in case of mid/long-term actions
- use milestone in case start and end of action is within one month (e.g. release milestones, quality-gates, etc.)</t>
  </si>
  <si>
    <t>in case the measure gets effective in next year, enter date in column R</t>
  </si>
  <si>
    <r>
      <t xml:space="preserve">Optional: </t>
    </r>
    <r>
      <rPr>
        <sz val="10"/>
        <rFont val="Arial"/>
        <family val="2"/>
      </rPr>
      <t>adapt the detailed timings on sheet "Tabellenwerte" (for creation of diagram)</t>
    </r>
  </si>
  <si>
    <r>
      <t xml:space="preserve">Optional: </t>
    </r>
    <r>
      <rPr>
        <sz val="10"/>
        <rFont val="Arial"/>
        <family val="2"/>
      </rPr>
      <t>adapt the measure-contributions over time (contribution changes within the year)</t>
    </r>
  </si>
  <si>
    <t>track each measure and set the symbols for actual timing (done), status will be set automatically or can be adapted manually (red/yellow/green)</t>
  </si>
  <si>
    <t>start value (last years end) is entered in sheet "Tabellenwerte"</t>
  </si>
  <si>
    <t>the actual measured value is entered monthly in sheet "Tabellenwerte"</t>
  </si>
  <si>
    <t>the "traffic light" is set to yellow in case planned value is not reached, for deviations &gt;10% red light is set</t>
  </si>
  <si>
    <t>How to…</t>
  </si>
  <si>
    <t>step</t>
  </si>
  <si>
    <t>Respon-sible</t>
  </si>
  <si>
    <t>Contribu-tion</t>
  </si>
  <si>
    <t>No.</t>
  </si>
  <si>
    <t>List</t>
  </si>
  <si>
    <t>- Added "milestone"-symbol for short-term measures (start/end/effective within 1 month)
- English-translation of "How to…"
- minor optimization for automatic status-setting</t>
  </si>
  <si>
    <t xml:space="preserve">     V1.54</t>
  </si>
  <si>
    <t>CC-PS/EPH3-Balz</t>
  </si>
  <si>
    <t>n/a</t>
  </si>
  <si>
    <t>1.6</t>
  </si>
  <si>
    <t>2.1</t>
  </si>
  <si>
    <t>MZ</t>
  </si>
  <si>
    <t>CC/ENG2-Bp</t>
  </si>
  <si>
    <t>VMPS System HW purchasing tracker</t>
  </si>
  <si>
    <t>7</t>
  </si>
  <si>
    <t>8</t>
  </si>
  <si>
    <t>9</t>
  </si>
  <si>
    <t>GNSS Competence Team</t>
  </si>
  <si>
    <t>CC/ENG2-Bp, Lupsic Balázs</t>
  </si>
  <si>
    <t>Differential GNSS</t>
  </si>
  <si>
    <t>Ambiguity</t>
  </si>
  <si>
    <t>RAIM and Integrity</t>
  </si>
  <si>
    <t>U-blox development boards</t>
  </si>
  <si>
    <t>Epehemeris and sattelite trajectory calculation</t>
  </si>
  <si>
    <t>GNSS Simulator</t>
  </si>
  <si>
    <t>Lupsic Balázs</t>
  </si>
  <si>
    <t>Navigation Solution with Pseudo Range Measurments - LSQ method</t>
  </si>
  <si>
    <t>Navigation Solution with Pseudo Range Measurments - Kalman filter method</t>
  </si>
  <si>
    <t xml:space="preserve">The measure of the progress is the implemented code. We always add a link where you can find the source code and any relevant documents when the project is closed and successfull. 
Every project shall start with a kick off meeting. During this meeting we will write the specification of the software. We will create a well described pseudo-code. 
During the project time the participiant will work alone on the project. Most of the projects can be done alone without any further collaboration. 
At the end of the project we will shae are gained experinces and result. If neccessary we will organize more meetings during the project period but the idea is to support each other informally if someone is in need.
Every started project has a detailed description and plan in the comment section.
If you wish to see more detail in progress you shall check out the team asana page.
https://app.asana.com/0/600125721892441/list
It is a closed web page but the team members can access it. They can show it to you more elaborately.
</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</si>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</sst>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9]mmm;@"/>
    <numFmt numFmtId="165" formatCode="[$-809]mmmm;@"/>
  </numFmts>
  <fonts count="30" x14ac:knownFonts="1">
    <font>
      <sz val="10"/>
      <name val="Arial"/>
    </font>
    <font>
      <sz val="10"/>
      <name val="Arial"/>
      <family val="2"/>
    </font>
    <font>
      <sz val="12"/>
      <name val="Arial"/>
      <family val="2"/>
    </font>
    <font>
      <b/>
      <sz val="12"/>
      <name val="Arial"/>
      <family val="2"/>
    </font>
    <font>
      <b/>
      <sz val="12"/>
      <name val="Arial"/>
      <family val="2"/>
    </font>
    <font>
      <sz val="10"/>
      <name val="Arial"/>
      <family val="2"/>
    </font>
    <font>
      <sz val="20"/>
      <name val="Wingdings"/>
      <charset val="2"/>
    </font>
    <font>
      <sz val="8"/>
      <name val="Arial"/>
      <family val="2"/>
    </font>
    <font>
      <sz val="6"/>
      <name val="Arial"/>
      <family val="2"/>
    </font>
    <font>
      <b/>
      <sz val="10"/>
      <name val="Arial"/>
      <family val="2"/>
    </font>
    <font>
      <sz val="8"/>
      <name val="Arial"/>
      <family val="2"/>
    </font>
    <font>
      <b/>
      <sz val="25"/>
      <name val="Arial"/>
      <family val="2"/>
    </font>
    <font>
      <b/>
      <sz val="18"/>
      <name val="Arial"/>
      <family val="2"/>
    </font>
    <font>
      <sz val="10"/>
      <color indexed="9"/>
      <name val="Arial"/>
      <family val="2"/>
    </font>
    <font>
      <sz val="14"/>
      <name val="SimSun"/>
    </font>
    <font>
      <b/>
      <sz val="14"/>
      <name val="SimSun"/>
    </font>
    <font>
      <u/>
      <sz val="10"/>
      <color indexed="12"/>
      <name val="Arial"/>
      <family val="2"/>
    </font>
    <font>
      <strike/>
      <sz val="10"/>
      <name val="Arial"/>
      <family val="2"/>
    </font>
    <font>
      <strike/>
      <u/>
      <sz val="10"/>
      <color indexed="12"/>
      <name val="Arial"/>
      <family val="2"/>
    </font>
    <font>
      <b/>
      <sz val="14"/>
      <name val="Arial"/>
      <family val="2"/>
    </font>
    <font>
      <b/>
      <sz val="8"/>
      <name val="Arial"/>
      <family val="2"/>
    </font>
    <font>
      <sz val="10"/>
      <color indexed="8"/>
      <name val="Arial"/>
      <family val="2"/>
    </font>
    <font>
      <b/>
      <sz val="10"/>
      <color theme="0"/>
      <name val="Arial"/>
      <family val="2"/>
    </font>
    <font>
      <b/>
      <sz val="9"/>
      <color indexed="81"/>
      <name val="Tahoma"/>
      <family val="2"/>
    </font>
    <font>
      <b/>
      <sz val="9"/>
      <color indexed="81"/>
      <name val="Tahoma"/>
      <family val="2"/>
      <charset val="238"/>
    </font>
    <font>
      <sz val="9"/>
      <color indexed="81"/>
      <name val="Tahoma"/>
      <family val="2"/>
      <charset val="238"/>
    </font>
    <font>
      <sz val="9"/>
      <color indexed="81"/>
      <name val="Tahoma"/>
      <charset val="1"/>
    </font>
    <font>
      <b/>
      <sz val="9"/>
      <color indexed="81"/>
      <name val="Tahoma"/>
      <charset val="1"/>
    </font>
    <font>
      <b/>
      <i/>
      <sz val="10"/>
      <name val="Arial"/>
      <family val="2"/>
      <charset val="238"/>
    </font>
    <font>
      <sz val="10"/>
      <name val="Arial"/>
      <family val="2"/>
      <charset val="238"/>
    </font>
  </fonts>
  <fills count="14">
    <fill>
      <patternFill patternType="none"/>
    </fill>
    <fill>
      <patternFill patternType="gray125"/>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9"/>
        <bgColor indexed="9"/>
      </patternFill>
    </fill>
    <fill>
      <patternFill patternType="solid">
        <fgColor indexed="65"/>
        <bgColor indexed="64"/>
      </patternFill>
    </fill>
    <fill>
      <patternFill patternType="solid">
        <fgColor indexed="41"/>
        <bgColor indexed="64"/>
      </patternFill>
    </fill>
    <fill>
      <patternFill patternType="solid">
        <fgColor indexed="22"/>
        <bgColor indexed="64"/>
      </patternFill>
    </fill>
    <fill>
      <patternFill patternType="solid">
        <fgColor theme="0"/>
        <bgColor indexed="64"/>
      </patternFill>
    </fill>
    <fill>
      <patternFill patternType="solid">
        <fgColor rgb="FFFF0000"/>
        <bgColor indexed="64"/>
      </patternFill>
    </fill>
    <fill>
      <patternFill patternType="solid">
        <fgColor theme="0"/>
        <bgColor indexed="9"/>
      </patternFill>
    </fill>
    <fill>
      <patternFill patternType="solid">
        <fgColor rgb="FFFFFF00"/>
        <bgColor indexed="64"/>
      </patternFill>
    </fill>
    <fill>
      <patternFill patternType="solid">
        <fgColor theme="6" tint="0.79998168889431442"/>
        <bgColor indexed="64"/>
      </patternFill>
    </fill>
  </fills>
  <borders count="41">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left>
      <right style="thin">
        <color theme="1"/>
      </right>
      <top style="thin">
        <color indexed="64"/>
      </top>
      <bottom/>
      <diagonal/>
    </border>
    <border>
      <left style="thin">
        <color theme="0"/>
      </left>
      <right style="thin">
        <color theme="1"/>
      </right>
      <top style="thin">
        <color theme="0"/>
      </top>
      <bottom style="thin">
        <color theme="0"/>
      </bottom>
      <diagonal/>
    </border>
    <border>
      <left style="thin">
        <color theme="0"/>
      </left>
      <right style="thin">
        <color theme="1"/>
      </right>
      <top/>
      <bottom style="thin">
        <color indexed="64"/>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top style="thin">
        <color indexed="64"/>
      </top>
      <bottom style="thin">
        <color theme="0"/>
      </bottom>
      <diagonal/>
    </border>
    <border>
      <left style="thin">
        <color theme="0"/>
      </left>
      <right/>
      <top style="thin">
        <color theme="0"/>
      </top>
      <bottom style="thin">
        <color theme="0"/>
      </bottom>
      <diagonal/>
    </border>
    <border>
      <left style="thin">
        <color theme="0"/>
      </left>
      <right/>
      <top style="thin">
        <color theme="0"/>
      </top>
      <bottom style="thin">
        <color indexed="64"/>
      </bottom>
      <diagonal/>
    </border>
    <border>
      <left/>
      <right style="thin">
        <color theme="0"/>
      </right>
      <top style="thin">
        <color indexed="64"/>
      </top>
      <bottom style="thin">
        <color theme="0"/>
      </bottom>
      <diagonal/>
    </border>
    <border>
      <left/>
      <right style="thin">
        <color theme="0"/>
      </right>
      <top style="thin">
        <color theme="0"/>
      </top>
      <bottom style="thin">
        <color theme="0"/>
      </bottom>
      <diagonal/>
    </border>
    <border>
      <left/>
      <right style="thin">
        <color theme="0"/>
      </right>
      <top style="thin">
        <color theme="0"/>
      </top>
      <bottom style="thin">
        <color indexed="64"/>
      </bottom>
      <diagonal/>
    </border>
    <border>
      <left style="thin">
        <color theme="0"/>
      </left>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theme="0"/>
      </top>
      <bottom style="thin">
        <color theme="0"/>
      </bottom>
      <diagonal/>
    </border>
    <border>
      <left style="thin">
        <color theme="0"/>
      </left>
      <right style="thin">
        <color indexed="64"/>
      </right>
      <top style="thin">
        <color theme="0"/>
      </top>
      <bottom style="thin">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16" fillId="0" borderId="0" applyNumberFormat="0" applyFill="0" applyBorder="0" applyAlignment="0" applyProtection="0">
      <alignment vertical="top"/>
      <protection locked="0"/>
    </xf>
    <xf numFmtId="9" fontId="1" fillId="0" borderId="0" applyFont="0" applyFill="0" applyBorder="0" applyAlignment="0" applyProtection="0"/>
  </cellStyleXfs>
  <cellXfs count="205">
    <xf numFmtId="0" fontId="0" fillId="0" borderId="0" xfId="0"/>
    <xf numFmtId="0" fontId="0" fillId="0" borderId="0" xfId="0" applyFill="1" applyBorder="1" applyAlignment="1">
      <alignment vertical="center"/>
    </xf>
    <xf numFmtId="0" fontId="0" fillId="0" borderId="0" xfId="0" applyAlignment="1">
      <alignment vertical="center"/>
    </xf>
    <xf numFmtId="0" fontId="0" fillId="0" borderId="0" xfId="0" applyBorder="1" applyAlignment="1">
      <alignment vertical="center"/>
    </xf>
    <xf numFmtId="0" fontId="0" fillId="0" borderId="0" xfId="0" applyFill="1" applyAlignment="1">
      <alignment vertical="center"/>
    </xf>
    <xf numFmtId="0" fontId="8" fillId="0" borderId="0" xfId="0" applyFont="1" applyBorder="1" applyAlignment="1" applyProtection="1">
      <alignment horizontal="right" vertical="center"/>
    </xf>
    <xf numFmtId="0" fontId="9" fillId="0" borderId="0" xfId="0" applyFont="1"/>
    <xf numFmtId="0" fontId="9" fillId="0" borderId="0" xfId="0" applyFont="1" applyAlignment="1">
      <alignment vertical="center"/>
    </xf>
    <xf numFmtId="0" fontId="5" fillId="0" borderId="0" xfId="0" applyFont="1" applyAlignment="1">
      <alignment horizontal="center"/>
    </xf>
    <xf numFmtId="0" fontId="5" fillId="0" borderId="0" xfId="0" applyFont="1"/>
    <xf numFmtId="0" fontId="2" fillId="0" borderId="0" xfId="0" applyFont="1"/>
    <xf numFmtId="0" fontId="2" fillId="0" borderId="0" xfId="0" applyFont="1" applyAlignment="1">
      <alignment wrapText="1"/>
    </xf>
    <xf numFmtId="0" fontId="4" fillId="2" borderId="0" xfId="0" applyFont="1" applyFill="1" applyAlignment="1">
      <alignment vertical="top"/>
    </xf>
    <xf numFmtId="0" fontId="4" fillId="0" borderId="0" xfId="0" applyFont="1" applyAlignment="1">
      <alignment vertical="top"/>
    </xf>
    <xf numFmtId="0" fontId="4" fillId="3" borderId="0" xfId="0" applyFont="1" applyFill="1" applyAlignment="1">
      <alignment vertical="top"/>
    </xf>
    <xf numFmtId="0" fontId="4" fillId="4" borderId="0" xfId="0" applyFont="1" applyFill="1" applyAlignment="1">
      <alignment vertical="top"/>
    </xf>
    <xf numFmtId="49" fontId="0" fillId="0" borderId="0" xfId="0" applyNumberFormat="1"/>
    <xf numFmtId="0" fontId="0" fillId="0" borderId="0" xfId="0" applyNumberFormat="1"/>
    <xf numFmtId="14" fontId="0" fillId="0" borderId="0" xfId="0" applyNumberFormat="1"/>
    <xf numFmtId="49" fontId="5" fillId="5" borderId="4" xfId="0" applyNumberFormat="1" applyFont="1" applyFill="1" applyBorder="1" applyAlignment="1" applyProtection="1">
      <alignment horizontal="center" vertical="center"/>
      <protection locked="0"/>
    </xf>
    <xf numFmtId="0" fontId="7" fillId="4" borderId="6" xfId="0" applyFont="1" applyFill="1" applyBorder="1" applyAlignment="1">
      <alignment horizontal="center" vertical="center"/>
    </xf>
    <xf numFmtId="0" fontId="0" fillId="0" borderId="6" xfId="0" applyBorder="1" applyAlignment="1">
      <alignment vertical="center"/>
    </xf>
    <xf numFmtId="0" fontId="5" fillId="7" borderId="4" xfId="0" applyFont="1" applyFill="1" applyBorder="1" applyAlignment="1">
      <alignment horizontal="center" vertical="center"/>
    </xf>
    <xf numFmtId="0" fontId="5" fillId="7" borderId="4" xfId="0" applyFont="1" applyFill="1" applyBorder="1" applyAlignment="1">
      <alignment horizontal="center" vertical="center" wrapText="1"/>
    </xf>
    <xf numFmtId="0" fontId="5" fillId="7" borderId="4" xfId="0" applyFont="1" applyFill="1" applyBorder="1" applyAlignment="1">
      <alignment horizontal="center"/>
    </xf>
    <xf numFmtId="0" fontId="5" fillId="7" borderId="8" xfId="0" applyFont="1" applyFill="1" applyBorder="1" applyAlignment="1">
      <alignment horizontal="center" vertical="center"/>
    </xf>
    <xf numFmtId="0" fontId="9" fillId="7" borderId="4" xfId="0" applyFont="1" applyFill="1" applyBorder="1" applyAlignment="1">
      <alignment vertical="center"/>
    </xf>
    <xf numFmtId="0" fontId="14" fillId="5" borderId="4" xfId="0" applyFont="1" applyFill="1" applyBorder="1" applyAlignment="1" applyProtection="1">
      <alignment horizontal="center" vertical="center"/>
      <protection locked="0"/>
    </xf>
    <xf numFmtId="0" fontId="14" fillId="6" borderId="4"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2" fontId="5" fillId="7" borderId="4" xfId="2" applyNumberFormat="1" applyFont="1" applyFill="1" applyBorder="1" applyAlignment="1">
      <alignment vertical="center"/>
    </xf>
    <xf numFmtId="2" fontId="5" fillId="7" borderId="4" xfId="0" applyNumberFormat="1" applyFont="1" applyFill="1" applyBorder="1"/>
    <xf numFmtId="14" fontId="0" fillId="0" borderId="4" xfId="0" applyNumberFormat="1" applyBorder="1" applyAlignment="1" applyProtection="1">
      <alignment vertical="center"/>
      <protection locked="0"/>
    </xf>
    <xf numFmtId="0" fontId="0" fillId="0" borderId="4" xfId="0" applyBorder="1" applyAlignment="1" applyProtection="1">
      <alignment vertical="center"/>
      <protection locked="0"/>
    </xf>
    <xf numFmtId="0" fontId="9" fillId="0" borderId="0" xfId="0" applyFont="1" applyFill="1" applyAlignment="1" applyProtection="1">
      <alignment vertical="center"/>
      <protection locked="0"/>
    </xf>
    <xf numFmtId="0" fontId="0" fillId="0" borderId="0" xfId="0" applyAlignment="1">
      <alignment vertical="center" wrapText="1"/>
    </xf>
    <xf numFmtId="0" fontId="9" fillId="0" borderId="0" xfId="0" applyFont="1" applyFill="1" applyBorder="1" applyAlignment="1">
      <alignment vertical="center"/>
    </xf>
    <xf numFmtId="0" fontId="16" fillId="0" borderId="0" xfId="1" applyAlignment="1" applyProtection="1">
      <alignment vertical="center"/>
    </xf>
    <xf numFmtId="0" fontId="0" fillId="0" borderId="0" xfId="0" applyAlignment="1">
      <alignment horizontal="center" vertical="center"/>
    </xf>
    <xf numFmtId="0" fontId="17" fillId="0" borderId="0" xfId="0" applyFont="1" applyAlignment="1">
      <alignment horizontal="center" vertical="center"/>
    </xf>
    <xf numFmtId="0" fontId="18" fillId="0" borderId="0" xfId="1" applyFont="1" applyAlignment="1" applyProtection="1">
      <alignment vertical="center"/>
    </xf>
    <xf numFmtId="0" fontId="17" fillId="0" borderId="0" xfId="0" applyFont="1" applyAlignment="1">
      <alignment vertical="center"/>
    </xf>
    <xf numFmtId="49" fontId="19" fillId="8" borderId="12" xfId="0" applyNumberFormat="1" applyFont="1" applyFill="1" applyBorder="1" applyAlignment="1">
      <alignment vertical="center"/>
    </xf>
    <xf numFmtId="0" fontId="0" fillId="8" borderId="1" xfId="0" applyFill="1" applyBorder="1" applyAlignment="1">
      <alignment horizontal="center" vertical="center"/>
    </xf>
    <xf numFmtId="0" fontId="0" fillId="8" borderId="1" xfId="0" applyFill="1" applyBorder="1" applyAlignment="1">
      <alignment vertical="center" wrapText="1"/>
    </xf>
    <xf numFmtId="0" fontId="0" fillId="8" borderId="2" xfId="0" applyFill="1" applyBorder="1" applyAlignment="1">
      <alignment vertical="center"/>
    </xf>
    <xf numFmtId="0" fontId="9" fillId="8" borderId="0" xfId="0" applyFont="1" applyFill="1" applyAlignment="1">
      <alignment horizontal="center"/>
    </xf>
    <xf numFmtId="0" fontId="0" fillId="8" borderId="0" xfId="0" applyFill="1" applyBorder="1" applyAlignment="1">
      <alignment horizontal="center" vertical="center"/>
    </xf>
    <xf numFmtId="0" fontId="12" fillId="8" borderId="0" xfId="0" applyFont="1" applyFill="1" applyBorder="1" applyAlignment="1">
      <alignment horizontal="center" vertical="center" wrapText="1"/>
    </xf>
    <xf numFmtId="0" fontId="20" fillId="8" borderId="0" xfId="0" applyFont="1" applyFill="1" applyAlignment="1">
      <alignment horizontal="center"/>
    </xf>
    <xf numFmtId="0" fontId="0" fillId="8" borderId="0" xfId="0" applyFill="1" applyBorder="1" applyAlignment="1">
      <alignment vertical="center" wrapText="1"/>
    </xf>
    <xf numFmtId="0" fontId="9" fillId="8" borderId="3" xfId="0" applyFont="1" applyFill="1" applyBorder="1" applyAlignment="1">
      <alignment horizontal="center"/>
    </xf>
    <xf numFmtId="49" fontId="0" fillId="8" borderId="5" xfId="0" applyNumberFormat="1" applyFill="1" applyBorder="1" applyAlignment="1">
      <alignment vertical="center"/>
    </xf>
    <xf numFmtId="0" fontId="0" fillId="8" borderId="3" xfId="0" applyFill="1" applyBorder="1" applyAlignment="1">
      <alignment vertical="center"/>
    </xf>
    <xf numFmtId="49" fontId="9" fillId="8" borderId="9" xfId="0" applyNumberFormat="1" applyFont="1" applyFill="1" applyBorder="1" applyAlignment="1">
      <alignment horizontal="center" vertical="center"/>
    </xf>
    <xf numFmtId="0" fontId="9" fillId="8" borderId="6" xfId="0" applyFont="1" applyFill="1" applyBorder="1" applyAlignment="1">
      <alignment horizontal="center" vertical="center"/>
    </xf>
    <xf numFmtId="0" fontId="9" fillId="8" borderId="6" xfId="0" applyFont="1" applyFill="1" applyBorder="1" applyAlignment="1">
      <alignment vertical="center" wrapText="1"/>
    </xf>
    <xf numFmtId="0" fontId="9" fillId="8" borderId="7" xfId="0" applyFont="1" applyFill="1" applyBorder="1" applyAlignment="1">
      <alignment vertical="center"/>
    </xf>
    <xf numFmtId="0" fontId="5" fillId="0" borderId="4" xfId="0" applyFont="1" applyBorder="1" applyAlignment="1">
      <alignment vertical="top" wrapText="1"/>
    </xf>
    <xf numFmtId="14" fontId="5" fillId="0" borderId="4" xfId="0" applyNumberFormat="1" applyFont="1" applyBorder="1" applyAlignment="1">
      <alignment vertical="top" wrapText="1"/>
    </xf>
    <xf numFmtId="0" fontId="21" fillId="0" borderId="4" xfId="0" applyFont="1" applyBorder="1" applyAlignment="1">
      <alignment horizontal="left" vertical="center" wrapText="1"/>
    </xf>
    <xf numFmtId="14" fontId="5" fillId="0" borderId="4" xfId="0" applyNumberFormat="1" applyFont="1" applyBorder="1"/>
    <xf numFmtId="16" fontId="5" fillId="0" borderId="4" xfId="0" quotePrefix="1" applyNumberFormat="1" applyFont="1" applyBorder="1" applyAlignment="1">
      <alignment vertical="top" wrapText="1"/>
    </xf>
    <xf numFmtId="0" fontId="21" fillId="0" borderId="4" xfId="0" quotePrefix="1" applyFont="1" applyBorder="1" applyAlignment="1">
      <alignment horizontal="left" vertical="center" wrapText="1"/>
    </xf>
    <xf numFmtId="0" fontId="5" fillId="0" borderId="4" xfId="0" quotePrefix="1" applyFont="1" applyBorder="1" applyAlignment="1">
      <alignment vertical="top" wrapText="1"/>
    </xf>
    <xf numFmtId="0" fontId="9" fillId="0" borderId="0" xfId="0" applyFont="1" applyAlignment="1">
      <alignment vertical="center" wrapText="1"/>
    </xf>
    <xf numFmtId="0" fontId="3" fillId="5" borderId="4" xfId="0" applyFont="1" applyFill="1" applyBorder="1" applyAlignment="1" applyProtection="1">
      <alignment vertical="center"/>
      <protection locked="0"/>
    </xf>
    <xf numFmtId="0" fontId="0" fillId="0" borderId="14" xfId="0" applyBorder="1" applyAlignment="1" applyProtection="1">
      <alignment vertical="center"/>
      <protection locked="0"/>
    </xf>
    <xf numFmtId="49" fontId="1" fillId="5" borderId="4" xfId="0" applyNumberFormat="1" applyFont="1" applyFill="1" applyBorder="1" applyAlignment="1" applyProtection="1">
      <alignment horizontal="center" vertical="center"/>
      <protection locked="0"/>
    </xf>
    <xf numFmtId="164" fontId="5" fillId="7" borderId="4" xfId="0" applyNumberFormat="1" applyFont="1" applyFill="1" applyBorder="1" applyAlignment="1">
      <alignment horizontal="center" vertical="center"/>
    </xf>
    <xf numFmtId="164" fontId="9" fillId="9" borderId="4" xfId="0" applyNumberFormat="1" applyFont="1" applyFill="1" applyBorder="1" applyAlignment="1">
      <alignment horizontal="center" vertical="center"/>
    </xf>
    <xf numFmtId="9" fontId="5" fillId="3" borderId="4" xfId="2" applyFont="1" applyFill="1" applyBorder="1" applyAlignment="1" applyProtection="1">
      <alignment vertical="center"/>
      <protection locked="0"/>
    </xf>
    <xf numFmtId="9" fontId="5" fillId="7" borderId="4" xfId="2" applyFont="1" applyFill="1" applyBorder="1" applyAlignment="1">
      <alignment vertical="center"/>
    </xf>
    <xf numFmtId="0" fontId="0" fillId="0" borderId="16" xfId="0" applyBorder="1" applyAlignment="1">
      <alignment vertical="center"/>
    </xf>
    <xf numFmtId="0" fontId="0" fillId="0" borderId="18" xfId="0" applyBorder="1" applyAlignment="1">
      <alignment vertical="center"/>
    </xf>
    <xf numFmtId="0" fontId="0" fillId="0" borderId="20" xfId="0" applyBorder="1" applyAlignment="1">
      <alignment vertical="center"/>
    </xf>
    <xf numFmtId="0" fontId="1" fillId="7" borderId="4" xfId="0" applyFont="1" applyFill="1" applyBorder="1" applyAlignment="1">
      <alignment vertical="center"/>
    </xf>
    <xf numFmtId="0" fontId="1" fillId="7" borderId="8" xfId="0" applyFont="1" applyFill="1" applyBorder="1" applyAlignment="1">
      <alignment horizontal="left" vertical="center"/>
    </xf>
    <xf numFmtId="0" fontId="0" fillId="0" borderId="21" xfId="0" applyBorder="1" applyAlignment="1">
      <alignment vertical="center"/>
    </xf>
    <xf numFmtId="0" fontId="13" fillId="0" borderId="22" xfId="0" applyFont="1"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7" fillId="2" borderId="0" xfId="0" applyFont="1" applyFill="1" applyBorder="1" applyAlignment="1">
      <alignment horizontal="center" vertical="center"/>
    </xf>
    <xf numFmtId="0" fontId="7" fillId="3" borderId="0" xfId="0" applyFont="1" applyFill="1" applyBorder="1" applyAlignment="1">
      <alignment horizontal="center" vertical="center"/>
    </xf>
    <xf numFmtId="9" fontId="5" fillId="5" borderId="4" xfId="2" applyFont="1" applyFill="1" applyBorder="1" applyAlignment="1" applyProtection="1">
      <alignment horizontal="center" vertical="center"/>
    </xf>
    <xf numFmtId="9" fontId="5" fillId="5" borderId="4" xfId="2" applyNumberFormat="1" applyFont="1" applyFill="1" applyBorder="1" applyAlignment="1" applyProtection="1">
      <alignment horizontal="center" vertical="center"/>
    </xf>
    <xf numFmtId="9" fontId="4" fillId="0" borderId="4" xfId="2" applyNumberFormat="1" applyFont="1" applyFill="1" applyBorder="1" applyAlignment="1" applyProtection="1">
      <alignment horizontal="center" vertical="center"/>
    </xf>
    <xf numFmtId="0" fontId="9" fillId="0" borderId="0" xfId="0" applyFont="1" applyBorder="1" applyAlignment="1">
      <alignment vertical="center" wrapText="1"/>
    </xf>
    <xf numFmtId="14" fontId="0" fillId="0" borderId="0" xfId="0" applyNumberFormat="1" applyBorder="1" applyAlignment="1" applyProtection="1">
      <alignment vertical="center"/>
      <protection locked="0"/>
    </xf>
    <xf numFmtId="0" fontId="0" fillId="0" borderId="0" xfId="0" applyBorder="1" applyAlignment="1" applyProtection="1">
      <alignment vertical="center"/>
      <protection locked="0"/>
    </xf>
    <xf numFmtId="0" fontId="1" fillId="0" borderId="4" xfId="0" applyFont="1" applyBorder="1" applyAlignment="1">
      <alignment vertical="center"/>
    </xf>
    <xf numFmtId="0" fontId="15" fillId="0" borderId="4" xfId="0" applyFont="1" applyBorder="1" applyAlignment="1">
      <alignment horizontal="center" vertical="center"/>
    </xf>
    <xf numFmtId="2" fontId="1" fillId="0" borderId="4" xfId="0" applyNumberFormat="1" applyFont="1" applyBorder="1" applyAlignment="1">
      <alignment vertical="center"/>
    </xf>
    <xf numFmtId="0" fontId="0" fillId="0" borderId="4" xfId="0" applyBorder="1" applyAlignment="1">
      <alignment vertical="center"/>
    </xf>
    <xf numFmtId="0" fontId="15" fillId="0" borderId="4" xfId="0" applyFont="1" applyBorder="1" applyAlignment="1" applyProtection="1">
      <alignment horizontal="center" vertical="center"/>
    </xf>
    <xf numFmtId="0" fontId="6" fillId="0" borderId="4" xfId="0" applyFont="1" applyBorder="1" applyAlignment="1">
      <alignment vertical="center"/>
    </xf>
    <xf numFmtId="17" fontId="1" fillId="0" borderId="4" xfId="0" quotePrefix="1" applyNumberFormat="1" applyFont="1" applyBorder="1" applyAlignment="1">
      <alignment vertical="top" wrapText="1"/>
    </xf>
    <xf numFmtId="0" fontId="1" fillId="0" borderId="4" xfId="0" applyFont="1" applyBorder="1" applyAlignment="1">
      <alignment vertical="top" wrapText="1"/>
    </xf>
    <xf numFmtId="0" fontId="5" fillId="0" borderId="17" xfId="0" applyFont="1" applyBorder="1" applyAlignment="1" applyProtection="1">
      <alignment vertical="center"/>
    </xf>
    <xf numFmtId="0" fontId="9" fillId="0" borderId="18" xfId="0" applyFont="1" applyBorder="1" applyAlignment="1">
      <alignment horizontal="right" vertical="center"/>
    </xf>
    <xf numFmtId="0" fontId="15" fillId="0" borderId="18" xfId="0" applyFont="1" applyBorder="1" applyAlignment="1">
      <alignment horizontal="center" vertical="center"/>
    </xf>
    <xf numFmtId="0" fontId="7" fillId="0" borderId="18" xfId="0" applyFont="1" applyBorder="1" applyAlignment="1" applyProtection="1">
      <alignment vertical="center"/>
    </xf>
    <xf numFmtId="0" fontId="9" fillId="0" borderId="18" xfId="0" applyFont="1" applyBorder="1" applyAlignment="1" applyProtection="1">
      <alignment horizontal="right" vertical="center"/>
    </xf>
    <xf numFmtId="0" fontId="15" fillId="0" borderId="18" xfId="0" applyFont="1" applyBorder="1" applyAlignment="1" applyProtection="1">
      <alignment horizontal="center" vertical="center"/>
    </xf>
    <xf numFmtId="0" fontId="7" fillId="0" borderId="19" xfId="0" applyFont="1" applyBorder="1" applyAlignment="1" applyProtection="1">
      <alignment vertical="center"/>
    </xf>
    <xf numFmtId="0" fontId="15" fillId="0" borderId="20" xfId="0" applyFont="1" applyBorder="1" applyAlignment="1">
      <alignment horizontal="center" vertical="center"/>
    </xf>
    <xf numFmtId="0" fontId="7" fillId="0" borderId="20" xfId="0" applyFont="1" applyBorder="1" applyAlignment="1" applyProtection="1">
      <alignment vertical="center"/>
    </xf>
    <xf numFmtId="0" fontId="15" fillId="0" borderId="20" xfId="0" applyFont="1" applyBorder="1" applyAlignment="1" applyProtection="1">
      <alignment horizontal="center" vertical="center"/>
    </xf>
    <xf numFmtId="14" fontId="7" fillId="0" borderId="25" xfId="0" applyNumberFormat="1" applyFont="1" applyBorder="1" applyAlignment="1">
      <alignment horizontal="left" vertical="center"/>
    </xf>
    <xf numFmtId="14" fontId="7" fillId="0" borderId="26" xfId="0" applyNumberFormat="1" applyFont="1" applyBorder="1" applyAlignment="1">
      <alignment horizontal="left" vertical="center"/>
    </xf>
    <xf numFmtId="0" fontId="15" fillId="0" borderId="26" xfId="0" applyFont="1" applyBorder="1" applyAlignment="1" applyProtection="1">
      <alignment horizontal="center" vertical="center"/>
    </xf>
    <xf numFmtId="0" fontId="7" fillId="0" borderId="26" xfId="0" applyFont="1" applyBorder="1" applyAlignment="1" applyProtection="1">
      <alignment vertical="center"/>
    </xf>
    <xf numFmtId="0" fontId="7" fillId="0" borderId="26" xfId="0" applyFont="1" applyBorder="1" applyAlignment="1" applyProtection="1">
      <alignment horizontal="left" vertical="center"/>
    </xf>
    <xf numFmtId="0" fontId="0" fillId="0" borderId="27" xfId="0" applyBorder="1" applyAlignment="1">
      <alignment vertical="center"/>
    </xf>
    <xf numFmtId="0" fontId="0" fillId="0" borderId="28" xfId="0" applyBorder="1" applyAlignment="1">
      <alignment vertical="center"/>
    </xf>
    <xf numFmtId="0" fontId="7" fillId="0" borderId="29" xfId="0" applyFont="1" applyBorder="1" applyAlignment="1" applyProtection="1">
      <alignment horizontal="left" vertical="center"/>
    </xf>
    <xf numFmtId="0" fontId="0" fillId="0" borderId="30" xfId="0" applyBorder="1" applyAlignment="1">
      <alignment vertical="center"/>
    </xf>
    <xf numFmtId="0" fontId="7" fillId="0" borderId="27" xfId="0" applyFont="1" applyBorder="1" applyAlignment="1">
      <alignment vertical="center"/>
    </xf>
    <xf numFmtId="0" fontId="7" fillId="0" borderId="31" xfId="0" applyFont="1" applyBorder="1"/>
    <xf numFmtId="0" fontId="10" fillId="0" borderId="20" xfId="0" applyFont="1" applyBorder="1"/>
    <xf numFmtId="0" fontId="7" fillId="0" borderId="20" xfId="0" applyFont="1" applyBorder="1" applyAlignment="1">
      <alignment vertical="center"/>
    </xf>
    <xf numFmtId="0" fontId="7" fillId="0" borderId="28" xfId="0" applyFont="1" applyBorder="1" applyAlignment="1">
      <alignment vertical="center"/>
    </xf>
    <xf numFmtId="0" fontId="7" fillId="0" borderId="32" xfId="0" applyFont="1" applyBorder="1"/>
    <xf numFmtId="0" fontId="10" fillId="0" borderId="26" xfId="0" applyFont="1" applyBorder="1"/>
    <xf numFmtId="0" fontId="7" fillId="0" borderId="26" xfId="0" applyFont="1" applyBorder="1" applyAlignment="1">
      <alignment vertical="center"/>
    </xf>
    <xf numFmtId="0" fontId="0" fillId="0" borderId="26" xfId="0" applyBorder="1" applyAlignment="1">
      <alignment vertical="center"/>
    </xf>
    <xf numFmtId="0" fontId="7" fillId="0" borderId="29" xfId="0" applyFont="1" applyBorder="1" applyAlignment="1">
      <alignment vertical="center"/>
    </xf>
    <xf numFmtId="0" fontId="9" fillId="0" borderId="33" xfId="0" applyFont="1" applyBorder="1" applyAlignment="1" applyProtection="1">
      <alignment horizontal="left" vertical="center"/>
    </xf>
    <xf numFmtId="0" fontId="9" fillId="0" borderId="35" xfId="0" applyFont="1" applyBorder="1" applyAlignment="1" applyProtection="1">
      <alignment horizontal="left" vertical="center"/>
    </xf>
    <xf numFmtId="0" fontId="0" fillId="0" borderId="35" xfId="0" applyBorder="1" applyAlignment="1">
      <alignment vertical="center"/>
    </xf>
    <xf numFmtId="0" fontId="0" fillId="0" borderId="34" xfId="0" applyBorder="1" applyAlignment="1">
      <alignment vertical="center"/>
    </xf>
    <xf numFmtId="0" fontId="0" fillId="0" borderId="36" xfId="0" applyBorder="1" applyAlignment="1">
      <alignment vertical="center"/>
    </xf>
    <xf numFmtId="0" fontId="7" fillId="0" borderId="37" xfId="0" applyFont="1" applyBorder="1" applyAlignment="1">
      <alignment vertical="center"/>
    </xf>
    <xf numFmtId="0" fontId="7" fillId="0" borderId="36" xfId="0" applyFont="1" applyBorder="1" applyAlignment="1">
      <alignment vertical="center"/>
    </xf>
    <xf numFmtId="0" fontId="9" fillId="0" borderId="0" xfId="0" applyFont="1" applyAlignment="1">
      <alignment vertical="center" wrapText="1"/>
    </xf>
    <xf numFmtId="0" fontId="1" fillId="0" borderId="0" xfId="0" applyFont="1" applyAlignment="1">
      <alignment horizontal="center" vertical="center"/>
    </xf>
    <xf numFmtId="0" fontId="14" fillId="0" borderId="0" xfId="0" applyFont="1" applyAlignment="1">
      <alignment vertical="center"/>
    </xf>
    <xf numFmtId="0" fontId="1" fillId="0" borderId="0" xfId="0" applyFont="1" applyAlignment="1">
      <alignment vertical="center" wrapText="1"/>
    </xf>
    <xf numFmtId="0" fontId="9" fillId="0" borderId="0" xfId="0" applyFont="1" applyAlignment="1">
      <alignment horizontal="center" vertical="center"/>
    </xf>
    <xf numFmtId="0" fontId="5" fillId="5" borderId="4" xfId="2" applyNumberFormat="1" applyFont="1" applyFill="1" applyBorder="1" applyAlignment="1" applyProtection="1">
      <alignment horizontal="center" vertical="center"/>
    </xf>
    <xf numFmtId="0" fontId="0" fillId="0" borderId="17" xfId="0" applyBorder="1" applyAlignment="1" applyProtection="1">
      <alignment vertical="center"/>
      <protection locked="0"/>
    </xf>
    <xf numFmtId="0" fontId="0" fillId="0" borderId="19" xfId="0" applyBorder="1" applyAlignment="1" applyProtection="1">
      <alignment vertical="center"/>
      <protection locked="0"/>
    </xf>
    <xf numFmtId="0" fontId="0" fillId="0" borderId="15" xfId="0" applyBorder="1" applyAlignment="1" applyProtection="1">
      <alignment vertical="center"/>
      <protection locked="0"/>
    </xf>
    <xf numFmtId="0" fontId="8" fillId="0" borderId="4" xfId="0" applyFont="1" applyBorder="1" applyAlignment="1" applyProtection="1">
      <alignment vertical="center"/>
      <protection locked="0"/>
    </xf>
    <xf numFmtId="0" fontId="7" fillId="5" borderId="4" xfId="0" applyFont="1" applyFill="1" applyBorder="1" applyAlignment="1" applyProtection="1">
      <alignment vertical="center"/>
      <protection locked="0"/>
    </xf>
    <xf numFmtId="0" fontId="2" fillId="0" borderId="4" xfId="0" applyFont="1" applyBorder="1" applyAlignment="1" applyProtection="1">
      <alignment horizontal="center" vertical="center"/>
      <protection locked="0"/>
    </xf>
    <xf numFmtId="0" fontId="5" fillId="0" borderId="4" xfId="0" applyFont="1" applyBorder="1" applyAlignment="1">
      <alignment wrapText="1"/>
    </xf>
    <xf numFmtId="0" fontId="1" fillId="0" borderId="4" xfId="0" applyFont="1" applyBorder="1" applyAlignment="1">
      <alignment wrapText="1"/>
    </xf>
    <xf numFmtId="0" fontId="0" fillId="0" borderId="0" xfId="0" applyAlignment="1">
      <alignment wrapText="1"/>
    </xf>
    <xf numFmtId="14" fontId="1" fillId="0" borderId="4" xfId="0" applyNumberFormat="1" applyFont="1" applyBorder="1" applyAlignment="1">
      <alignment horizontal="right"/>
    </xf>
    <xf numFmtId="9" fontId="2" fillId="9" borderId="14" xfId="2" applyFont="1" applyFill="1" applyBorder="1" applyAlignment="1" applyProtection="1">
      <alignment horizontal="center" vertical="center"/>
      <protection locked="0"/>
    </xf>
    <xf numFmtId="0" fontId="2" fillId="9" borderId="4" xfId="0" applyNumberFormat="1" applyFont="1" applyFill="1" applyBorder="1" applyAlignment="1" applyProtection="1">
      <alignment horizontal="center" vertical="center"/>
      <protection locked="0"/>
    </xf>
    <xf numFmtId="0" fontId="3" fillId="9" borderId="4" xfId="0" applyFont="1" applyFill="1" applyBorder="1" applyAlignment="1" applyProtection="1">
      <alignment horizontal="left" vertical="center" wrapText="1"/>
      <protection locked="0"/>
    </xf>
    <xf numFmtId="49" fontId="2" fillId="9" borderId="4" xfId="0" applyNumberFormat="1" applyFont="1" applyFill="1" applyBorder="1" applyAlignment="1" applyProtection="1">
      <alignment horizontal="left" vertical="center"/>
      <protection locked="0"/>
    </xf>
    <xf numFmtId="49" fontId="1" fillId="11" borderId="4" xfId="0" applyNumberFormat="1" applyFont="1" applyFill="1" applyBorder="1" applyAlignment="1" applyProtection="1">
      <alignment horizontal="left" vertical="center" wrapText="1"/>
      <protection locked="0"/>
    </xf>
    <xf numFmtId="0" fontId="5" fillId="11" borderId="4" xfId="2" applyNumberFormat="1" applyFont="1" applyFill="1" applyBorder="1" applyAlignment="1" applyProtection="1">
      <alignment horizontal="center" vertical="center"/>
      <protection locked="0"/>
    </xf>
    <xf numFmtId="0" fontId="1" fillId="9" borderId="4" xfId="0" applyFont="1" applyFill="1" applyBorder="1" applyAlignment="1" applyProtection="1">
      <alignment vertical="center" wrapText="1"/>
      <protection locked="0"/>
    </xf>
    <xf numFmtId="0" fontId="3" fillId="11" borderId="4" xfId="0" applyFont="1" applyFill="1" applyBorder="1" applyAlignment="1" applyProtection="1">
      <alignment horizontal="center" vertical="center" wrapText="1" shrinkToFit="1"/>
      <protection locked="0"/>
    </xf>
    <xf numFmtId="16" fontId="1" fillId="0" borderId="4" xfId="0" quotePrefix="1" applyNumberFormat="1" applyFont="1" applyBorder="1" applyAlignment="1">
      <alignment vertical="top" wrapText="1"/>
    </xf>
    <xf numFmtId="49" fontId="28" fillId="11" borderId="4" xfId="1" applyNumberFormat="1" applyFont="1" applyFill="1" applyBorder="1" applyAlignment="1" applyProtection="1">
      <alignment vertical="center" wrapText="1"/>
      <protection locked="0"/>
    </xf>
    <xf numFmtId="49" fontId="28" fillId="11" borderId="4" xfId="0" applyNumberFormat="1" applyFont="1" applyFill="1" applyBorder="1" applyAlignment="1" applyProtection="1">
      <alignment vertical="center" wrapText="1"/>
      <protection locked="0"/>
    </xf>
    <xf numFmtId="49" fontId="28" fillId="9" borderId="4" xfId="1" applyNumberFormat="1" applyFont="1" applyFill="1" applyBorder="1" applyAlignment="1" applyProtection="1">
      <alignment vertical="center" wrapText="1"/>
      <protection locked="0"/>
    </xf>
    <xf numFmtId="49" fontId="28" fillId="9" borderId="4" xfId="0" applyNumberFormat="1" applyFont="1" applyFill="1" applyBorder="1" applyAlignment="1" applyProtection="1">
      <alignment vertical="center" wrapText="1"/>
      <protection locked="0"/>
    </xf>
    <xf numFmtId="0" fontId="29" fillId="0" borderId="0" xfId="0" applyFont="1" applyAlignment="1">
      <alignment vertical="center"/>
    </xf>
    <xf numFmtId="10" fontId="0" fillId="0" borderId="0" xfId="0" applyNumberFormat="1" applyAlignment="1">
      <alignment vertical="center"/>
    </xf>
    <xf numFmtId="10" fontId="0" fillId="12" borderId="0" xfId="0" applyNumberFormat="1" applyFill="1" applyAlignment="1">
      <alignment vertical="center"/>
    </xf>
    <xf numFmtId="10" fontId="0" fillId="13" borderId="0" xfId="0" applyNumberFormat="1" applyFill="1" applyAlignment="1">
      <alignment vertical="center"/>
    </xf>
    <xf numFmtId="10" fontId="0" fillId="0" borderId="0" xfId="0" applyNumberFormat="1" applyFill="1" applyBorder="1" applyAlignment="1">
      <alignment vertical="center"/>
    </xf>
    <xf numFmtId="10" fontId="0" fillId="0" borderId="38" xfId="0" applyNumberFormat="1" applyBorder="1" applyAlignment="1">
      <alignment vertical="center"/>
    </xf>
    <xf numFmtId="10" fontId="0" fillId="0" borderId="39" xfId="0" applyNumberFormat="1" applyBorder="1" applyAlignment="1">
      <alignment vertical="center"/>
    </xf>
    <xf numFmtId="10" fontId="0" fillId="0" borderId="40" xfId="0" applyNumberFormat="1" applyBorder="1" applyAlignment="1">
      <alignment vertical="center"/>
    </xf>
    <xf numFmtId="9" fontId="1" fillId="7" borderId="4" xfId="2" applyFont="1" applyFill="1" applyBorder="1" applyAlignment="1">
      <alignment vertical="center"/>
    </xf>
    <xf numFmtId="0" fontId="22" fillId="10" borderId="0" xfId="0" applyFont="1" applyFill="1" applyAlignment="1">
      <alignment horizontal="center" vertical="center"/>
    </xf>
    <xf numFmtId="0" fontId="9" fillId="0" borderId="13" xfId="0" applyFont="1" applyBorder="1" applyAlignment="1">
      <alignment vertical="center" wrapText="1"/>
    </xf>
    <xf numFmtId="0" fontId="9" fillId="0" borderId="14" xfId="0" applyFont="1" applyBorder="1" applyAlignment="1">
      <alignment vertical="center" wrapText="1"/>
    </xf>
    <xf numFmtId="0" fontId="11" fillId="0" borderId="8" xfId="0" applyFont="1" applyBorder="1" applyAlignment="1" applyProtection="1">
      <alignment horizontal="center" vertical="center"/>
      <protection locked="0"/>
    </xf>
    <xf numFmtId="0" fontId="11" fillId="0" borderId="11" xfId="0" applyFont="1" applyBorder="1" applyAlignment="1" applyProtection="1">
      <alignment horizontal="center" vertical="center"/>
      <protection locked="0"/>
    </xf>
    <xf numFmtId="0" fontId="0" fillId="0" borderId="23" xfId="0" applyBorder="1" applyAlignment="1">
      <alignment vertical="center"/>
    </xf>
    <xf numFmtId="0" fontId="3" fillId="0" borderId="8" xfId="0" applyFont="1" applyBorder="1" applyAlignment="1" applyProtection="1">
      <alignment horizontal="center" vertical="center"/>
    </xf>
    <xf numFmtId="0" fontId="4" fillId="0" borderId="10" xfId="0" applyFont="1" applyBorder="1" applyAlignment="1" applyProtection="1">
      <alignment horizontal="center" vertical="center"/>
    </xf>
    <xf numFmtId="0" fontId="9" fillId="0" borderId="10" xfId="0" applyFont="1" applyBorder="1" applyAlignment="1">
      <alignment horizontal="center" vertical="center"/>
    </xf>
    <xf numFmtId="0" fontId="9" fillId="0" borderId="11" xfId="0" applyFont="1" applyBorder="1" applyAlignment="1">
      <alignment horizontal="center" vertical="center"/>
    </xf>
    <xf numFmtId="0" fontId="3" fillId="0" borderId="4"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3" fillId="0" borderId="8" xfId="0" applyFont="1" applyFill="1" applyBorder="1" applyAlignment="1" applyProtection="1">
      <alignment horizontal="left" vertical="center"/>
      <protection locked="0"/>
    </xf>
    <xf numFmtId="0" fontId="4" fillId="0" borderId="11" xfId="0" applyFont="1" applyFill="1" applyBorder="1" applyAlignment="1" applyProtection="1">
      <alignment horizontal="left" vertical="center"/>
      <protection locked="0"/>
    </xf>
    <xf numFmtId="0" fontId="4" fillId="9" borderId="4" xfId="0" applyFont="1" applyFill="1" applyBorder="1" applyAlignment="1" applyProtection="1">
      <alignment horizontal="center" vertical="center"/>
      <protection locked="0"/>
    </xf>
    <xf numFmtId="165" fontId="2" fillId="0" borderId="4" xfId="0" applyNumberFormat="1" applyFont="1" applyBorder="1" applyAlignment="1" applyProtection="1">
      <alignment horizontal="center" vertical="center"/>
    </xf>
    <xf numFmtId="0" fontId="9" fillId="9" borderId="12" xfId="0" applyFont="1" applyFill="1" applyBorder="1" applyAlignment="1" applyProtection="1">
      <alignment horizontal="left" vertical="center" wrapText="1"/>
      <protection locked="0"/>
    </xf>
    <xf numFmtId="0" fontId="1" fillId="9" borderId="1" xfId="0" applyFont="1" applyFill="1" applyBorder="1" applyAlignment="1" applyProtection="1">
      <alignment horizontal="left" vertical="center" wrapText="1"/>
      <protection locked="0"/>
    </xf>
    <xf numFmtId="0" fontId="1" fillId="9" borderId="2" xfId="0" applyFont="1" applyFill="1" applyBorder="1" applyAlignment="1" applyProtection="1">
      <alignment horizontal="left" vertical="center" wrapText="1"/>
      <protection locked="0"/>
    </xf>
    <xf numFmtId="0" fontId="1" fillId="9" borderId="9" xfId="0" applyFont="1" applyFill="1" applyBorder="1" applyAlignment="1" applyProtection="1">
      <alignment horizontal="left" vertical="center" wrapText="1"/>
      <protection locked="0"/>
    </xf>
    <xf numFmtId="0" fontId="1" fillId="9" borderId="6" xfId="0" applyFont="1" applyFill="1" applyBorder="1" applyAlignment="1" applyProtection="1">
      <alignment horizontal="left" vertical="center" wrapText="1"/>
      <protection locked="0"/>
    </xf>
    <xf numFmtId="0" fontId="1" fillId="9" borderId="7" xfId="0" applyFont="1" applyFill="1" applyBorder="1" applyAlignment="1" applyProtection="1">
      <alignment horizontal="left" vertical="center" wrapText="1"/>
      <protection locked="0"/>
    </xf>
    <xf numFmtId="0" fontId="9" fillId="0" borderId="0" xfId="0" applyFont="1" applyAlignment="1">
      <alignment vertical="center" wrapText="1"/>
    </xf>
    <xf numFmtId="0" fontId="9" fillId="0" borderId="8" xfId="0" applyFont="1" applyBorder="1" applyAlignment="1" applyProtection="1">
      <alignment horizontal="right" vertical="center"/>
    </xf>
    <xf numFmtId="0" fontId="0" fillId="0" borderId="10" xfId="0" applyBorder="1" applyAlignment="1" applyProtection="1">
      <alignment vertical="center"/>
    </xf>
    <xf numFmtId="0" fontId="0" fillId="0" borderId="11" xfId="0" applyBorder="1" applyAlignment="1" applyProtection="1">
      <alignment vertical="center"/>
    </xf>
    <xf numFmtId="0" fontId="3" fillId="0" borderId="4"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wrapText="1"/>
    </xf>
    <xf numFmtId="0" fontId="3" fillId="0" borderId="13" xfId="0" applyFont="1" applyBorder="1" applyAlignment="1" applyProtection="1">
      <alignment horizontal="center" vertical="center" wrapText="1"/>
      <protection locked="0"/>
    </xf>
    <xf numFmtId="0" fontId="4" fillId="0" borderId="14" xfId="0" applyFont="1" applyBorder="1" applyAlignment="1" applyProtection="1">
      <alignment horizontal="center" vertical="center" wrapText="1"/>
      <protection locked="0"/>
    </xf>
    <xf numFmtId="0" fontId="4" fillId="0" borderId="0" xfId="0" applyFont="1" applyAlignment="1">
      <alignment horizontal="center" wrapText="1"/>
    </xf>
    <xf numFmtId="0" fontId="4" fillId="0" borderId="0" xfId="0" applyFont="1" applyAlignment="1">
      <alignment horizontal="center"/>
    </xf>
  </cellXfs>
  <cellStyles count="3">
    <cellStyle name="Hyperlink" xfId="1" builtinId="8"/>
    <cellStyle name="Normal" xfId="0" builtinId="0"/>
    <cellStyle name="Percent" xfId="2" builtinId="5"/>
  </cellStyles>
  <dxfs count="24">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indexed="13"/>
        </patternFill>
      </fill>
    </dxf>
    <dxf>
      <fill>
        <patternFill>
          <bgColor indexed="10"/>
        </patternFill>
      </fill>
    </dxf>
    <dxf>
      <fill>
        <patternFill>
          <bgColor indexed="43"/>
        </patternFill>
      </fill>
    </dxf>
    <dxf>
      <fill>
        <patternFill>
          <bgColor indexed="43"/>
        </patternFill>
      </fill>
    </dxf>
    <dxf>
      <fill>
        <patternFill>
          <bgColor indexed="11"/>
        </patternFill>
      </fill>
    </dxf>
    <dxf>
      <fill>
        <patternFill>
          <bgColor indexed="13"/>
        </patternFill>
      </fill>
    </dxf>
    <dxf>
      <fill>
        <patternFill>
          <bgColor indexed="10"/>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47347360268492"/>
          <c:y val="8.4274772452473515E-2"/>
          <c:w val="0.8713570366545782"/>
          <c:h val="0.85278825191250884"/>
        </c:manualLayout>
      </c:layout>
      <c:barChart>
        <c:barDir val="col"/>
        <c:grouping val="clustered"/>
        <c:varyColors val="0"/>
        <c:ser>
          <c:idx val="0"/>
          <c:order val="0"/>
          <c:tx>
            <c:strRef>
              <c:f>Tabellenwerte!$A$7</c:f>
              <c:strCache>
                <c:ptCount val="1"/>
                <c:pt idx="0">
                  <c:v>current</c:v>
                </c:pt>
              </c:strCache>
            </c:strRef>
          </c:tx>
          <c:spPr>
            <a:solidFill>
              <a:schemeClr val="accent1">
                <a:lumMod val="75000"/>
              </a:schemeClr>
            </a:solidFill>
          </c:spPr>
          <c:invertIfNegative val="0"/>
          <c:cat>
            <c:numRef>
              <c:f>Tabellenwerte!$C$3:$N$3</c:f>
              <c:numCache>
                <c:formatCode>[$-809]mmm;@</c:formatCode>
                <c:ptCount val="12"/>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numCache>
            </c:numRef>
          </c:cat>
          <c:val>
            <c:numRef>
              <c:f>Tabellenwerte!$C$7:$N$7</c:f>
              <c:numCache>
                <c:formatCode>0%</c:formatCode>
                <c:ptCount val="12"/>
                <c:pt idx="0">
                  <c:v>0</c:v>
                </c:pt>
                <c:pt idx="1">
                  <c:v>0</c:v>
                </c:pt>
                <c:pt idx="2">
                  <c:v>0.05</c:v>
                </c:pt>
                <c:pt idx="3">
                  <c:v>0.1</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A4EC-440B-9FFA-AA8E45552A49}"/>
            </c:ext>
          </c:extLst>
        </c:ser>
        <c:dLbls>
          <c:showLegendKey val="0"/>
          <c:showVal val="0"/>
          <c:showCatName val="0"/>
          <c:showSerName val="0"/>
          <c:showPercent val="0"/>
          <c:showBubbleSize val="0"/>
        </c:dLbls>
        <c:gapWidth val="150"/>
        <c:axId val="202269880"/>
        <c:axId val="202270272"/>
      </c:barChart>
      <c:lineChart>
        <c:grouping val="standard"/>
        <c:varyColors val="0"/>
        <c:ser>
          <c:idx val="1"/>
          <c:order val="1"/>
          <c:tx>
            <c:strRef>
              <c:f>Tabellenwerte!$A$5</c:f>
              <c:strCache>
                <c:ptCount val="1"/>
                <c:pt idx="0">
                  <c:v>plan</c:v>
                </c:pt>
              </c:strCache>
            </c:strRef>
          </c:tx>
          <c:spPr>
            <a:ln w="19050">
              <a:solidFill>
                <a:srgbClr val="92D050"/>
              </a:solidFill>
            </a:ln>
          </c:spPr>
          <c:marker>
            <c:symbol val="none"/>
          </c:marker>
          <c:cat>
            <c:numRef>
              <c:f>Tabellenwerte!$C$3:$N$3</c:f>
              <c:numCache>
                <c:formatCode>[$-809]mmm;@</c:formatCode>
                <c:ptCount val="12"/>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numCache>
            </c:numRef>
          </c:cat>
          <c:val>
            <c:numRef>
              <c:f>Tabellenwerte!$C$5:$N$5</c:f>
              <c:numCache>
                <c:formatCode>0%</c:formatCode>
                <c:ptCount val="12"/>
                <c:pt idx="0">
                  <c:v>0</c:v>
                </c:pt>
                <c:pt idx="1">
                  <c:v>0</c:v>
                </c:pt>
                <c:pt idx="2">
                  <c:v>0</c:v>
                </c:pt>
                <c:pt idx="3">
                  <c:v>0.1</c:v>
                </c:pt>
                <c:pt idx="4">
                  <c:v>0.2</c:v>
                </c:pt>
                <c:pt idx="5">
                  <c:v>0.30709999999999998</c:v>
                </c:pt>
                <c:pt idx="6">
                  <c:v>0.4143</c:v>
                </c:pt>
                <c:pt idx="7">
                  <c:v>0.51139999999999997</c:v>
                </c:pt>
                <c:pt idx="8">
                  <c:v>0.75190000000000001</c:v>
                </c:pt>
                <c:pt idx="9">
                  <c:v>0.86240000000000006</c:v>
                </c:pt>
                <c:pt idx="10">
                  <c:v>0.97289999999999999</c:v>
                </c:pt>
                <c:pt idx="11">
                  <c:v>1</c:v>
                </c:pt>
              </c:numCache>
            </c:numRef>
          </c:val>
          <c:smooth val="0"/>
          <c:extLst xmlns:c16r2="http://schemas.microsoft.com/office/drawing/2015/06/chart">
            <c:ext xmlns:c16="http://schemas.microsoft.com/office/drawing/2014/chart" uri="{C3380CC4-5D6E-409C-BE32-E72D297353CC}">
              <c16:uniqueId val="{00000001-A4EC-440B-9FFA-AA8E45552A49}"/>
            </c:ext>
          </c:extLst>
        </c:ser>
        <c:ser>
          <c:idx val="3"/>
          <c:order val="3"/>
          <c:tx>
            <c:strRef>
              <c:f>Tabellenwerte!$A$6</c:f>
              <c:strCache>
                <c:ptCount val="1"/>
                <c:pt idx="0">
                  <c:v>act</c:v>
                </c:pt>
              </c:strCache>
            </c:strRef>
          </c:tx>
          <c:spPr>
            <a:ln w="19050">
              <a:solidFill>
                <a:schemeClr val="accent2">
                  <a:lumMod val="75000"/>
                </a:schemeClr>
              </a:solidFill>
            </a:ln>
          </c:spPr>
          <c:marker>
            <c:symbol val="none"/>
          </c:marker>
          <c:val>
            <c:numRef>
              <c:f>Tabellenwerte!$C$6:$N$6</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6r2="http://schemas.microsoft.com/office/drawing/2015/06/chart">
            <c:ext xmlns:c16="http://schemas.microsoft.com/office/drawing/2014/chart" uri="{C3380CC4-5D6E-409C-BE32-E72D297353CC}">
              <c16:uniqueId val="{00000002-A4EC-440B-9FFA-AA8E45552A49}"/>
            </c:ext>
          </c:extLst>
        </c:ser>
        <c:dLbls>
          <c:showLegendKey val="0"/>
          <c:showVal val="0"/>
          <c:showCatName val="0"/>
          <c:showSerName val="0"/>
          <c:showPercent val="0"/>
          <c:showBubbleSize val="0"/>
        </c:dLbls>
        <c:marker val="1"/>
        <c:smooth val="0"/>
        <c:axId val="202269880"/>
        <c:axId val="202270272"/>
      </c:lineChart>
      <c:lineChart>
        <c:grouping val="standard"/>
        <c:varyColors val="0"/>
        <c:ser>
          <c:idx val="2"/>
          <c:order val="2"/>
          <c:tx>
            <c:strRef>
              <c:f>Tabellenwerte!$A$4</c:f>
              <c:strCache>
                <c:ptCount val="1"/>
                <c:pt idx="0">
                  <c:v>goal</c:v>
                </c:pt>
              </c:strCache>
            </c:strRef>
          </c:tx>
          <c:spPr>
            <a:ln>
              <a:solidFill>
                <a:schemeClr val="accent1">
                  <a:lumMod val="75000"/>
                </a:schemeClr>
              </a:solidFill>
            </a:ln>
          </c:spPr>
          <c:marker>
            <c:symbol val="none"/>
          </c:marker>
          <c:val>
            <c:numRef>
              <c:f>Tabellenwerte!$C$4:$N$4</c:f>
              <c:numCache>
                <c:formatCode>0%</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xmlns:c16r2="http://schemas.microsoft.com/office/drawing/2015/06/chart">
            <c:ext xmlns:c16="http://schemas.microsoft.com/office/drawing/2014/chart" uri="{C3380CC4-5D6E-409C-BE32-E72D297353CC}">
              <c16:uniqueId val="{00000003-A4EC-440B-9FFA-AA8E45552A49}"/>
            </c:ext>
          </c:extLst>
        </c:ser>
        <c:dLbls>
          <c:showLegendKey val="0"/>
          <c:showVal val="0"/>
          <c:showCatName val="0"/>
          <c:showSerName val="0"/>
          <c:showPercent val="0"/>
          <c:showBubbleSize val="0"/>
        </c:dLbls>
        <c:marker val="1"/>
        <c:smooth val="0"/>
        <c:axId val="202270664"/>
        <c:axId val="202271056"/>
      </c:lineChart>
      <c:catAx>
        <c:axId val="202269880"/>
        <c:scaling>
          <c:orientation val="minMax"/>
        </c:scaling>
        <c:delete val="0"/>
        <c:axPos val="b"/>
        <c:numFmt formatCode="[$-809]mmm;@" sourceLinked="1"/>
        <c:majorTickMark val="out"/>
        <c:minorTickMark val="none"/>
        <c:tickLblPos val="nextTo"/>
        <c:txPr>
          <a:bodyPr rot="0" vert="horz"/>
          <a:lstStyle/>
          <a:p>
            <a:pPr>
              <a:defRPr/>
            </a:pPr>
            <a:endParaRPr lang="en-US"/>
          </a:p>
        </c:txPr>
        <c:crossAx val="202270272"/>
        <c:crosses val="autoZero"/>
        <c:auto val="0"/>
        <c:lblAlgn val="ctr"/>
        <c:lblOffset val="100"/>
        <c:tickLblSkip val="1"/>
        <c:tickMarkSkip val="1"/>
        <c:noMultiLvlLbl val="0"/>
      </c:catAx>
      <c:valAx>
        <c:axId val="202270272"/>
        <c:scaling>
          <c:orientation val="minMax"/>
        </c:scaling>
        <c:delete val="0"/>
        <c:axPos val="l"/>
        <c:majorGridlines/>
        <c:numFmt formatCode="0%" sourceLinked="0"/>
        <c:majorTickMark val="out"/>
        <c:minorTickMark val="none"/>
        <c:tickLblPos val="nextTo"/>
        <c:txPr>
          <a:bodyPr rot="0" vert="horz"/>
          <a:lstStyle/>
          <a:p>
            <a:pPr>
              <a:defRPr/>
            </a:pPr>
            <a:endParaRPr lang="en-US"/>
          </a:p>
        </c:txPr>
        <c:crossAx val="202269880"/>
        <c:crosses val="autoZero"/>
        <c:crossBetween val="between"/>
      </c:valAx>
      <c:catAx>
        <c:axId val="202270664"/>
        <c:scaling>
          <c:orientation val="minMax"/>
        </c:scaling>
        <c:delete val="1"/>
        <c:axPos val="b"/>
        <c:majorTickMark val="out"/>
        <c:minorTickMark val="none"/>
        <c:tickLblPos val="none"/>
        <c:crossAx val="202271056"/>
        <c:crosses val="autoZero"/>
        <c:auto val="0"/>
        <c:lblAlgn val="ctr"/>
        <c:lblOffset val="100"/>
        <c:noMultiLvlLbl val="0"/>
      </c:catAx>
      <c:valAx>
        <c:axId val="202271056"/>
        <c:scaling>
          <c:orientation val="minMax"/>
        </c:scaling>
        <c:delete val="1"/>
        <c:axPos val="l"/>
        <c:numFmt formatCode="0%" sourceLinked="1"/>
        <c:majorTickMark val="out"/>
        <c:minorTickMark val="none"/>
        <c:tickLblPos val="none"/>
        <c:crossAx val="202270664"/>
        <c:crosses val="autoZero"/>
        <c:crossBetween val="between"/>
      </c:valAx>
    </c:plotArea>
    <c:legend>
      <c:legendPos val="t"/>
      <c:layout>
        <c:manualLayout>
          <c:xMode val="edge"/>
          <c:yMode val="edge"/>
          <c:x val="0.19414682509577405"/>
          <c:y val="1.4783662275663423E-3"/>
          <c:w val="0.66328666099480715"/>
          <c:h val="7.407431763703981E-2"/>
        </c:manualLayout>
      </c:layout>
      <c:overlay val="0"/>
    </c:legend>
    <c:plotVisOnly val="1"/>
    <c:dispBlanksAs val="gap"/>
    <c:showDLblsOverMax val="0"/>
  </c:chart>
  <c:spPr>
    <a:ln>
      <a:noFill/>
    </a:ln>
  </c:spPr>
  <c:printSettings>
    <c:headerFooter alignWithMargins="0">
      <c:oddHeader>&amp;B</c:oddHeader>
      <c:oddFooter>Page &amp;S</c:oddFooter>
    </c:headerFooter>
    <c:pageMargins b="0.98425196899999956" l="0.78740157499999996" r="0.78740157499999996" t="0.98425196899999956" header="0.5" footer="0.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4</xdr:col>
      <xdr:colOff>171449</xdr:colOff>
      <xdr:row>0</xdr:row>
      <xdr:rowOff>38100</xdr:rowOff>
    </xdr:from>
    <xdr:to>
      <xdr:col>17</xdr:col>
      <xdr:colOff>56029</xdr:colOff>
      <xdr:row>5</xdr:row>
      <xdr:rowOff>2256864</xdr:rowOff>
    </xdr:to>
    <xdr:graphicFrame macro="">
      <xdr:nvGraphicFramePr>
        <xdr:cNvPr id="1572" name="Chart 5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111869</xdr:colOff>
      <xdr:row>20</xdr:row>
      <xdr:rowOff>123825</xdr:rowOff>
    </xdr:from>
    <xdr:to>
      <xdr:col>1</xdr:col>
      <xdr:colOff>722914</xdr:colOff>
      <xdr:row>21</xdr:row>
      <xdr:rowOff>190500</xdr:rowOff>
    </xdr:to>
    <xdr:grpSp>
      <xdr:nvGrpSpPr>
        <xdr:cNvPr id="1659" name="Group 635"/>
        <xdr:cNvGrpSpPr>
          <a:grpSpLocks/>
        </xdr:cNvGrpSpPr>
      </xdr:nvGrpSpPr>
      <xdr:grpSpPr bwMode="auto">
        <a:xfrm>
          <a:off x="111869" y="8741149"/>
          <a:ext cx="1216163" cy="301998"/>
          <a:chOff x="11" y="680"/>
          <a:chExt cx="114" cy="32"/>
        </a:xfrm>
      </xdr:grpSpPr>
      <xdr:sp macro="" textlink="">
        <xdr:nvSpPr>
          <xdr:cNvPr id="1648" name="Text Box 624"/>
          <xdr:cNvSpPr txBox="1">
            <a:spLocks noChangeArrowheads="1"/>
          </xdr:cNvSpPr>
        </xdr:nvSpPr>
        <xdr:spPr bwMode="auto">
          <a:xfrm>
            <a:off x="11" y="680"/>
            <a:ext cx="114" cy="32"/>
          </a:xfrm>
          <a:prstGeom prst="rect">
            <a:avLst/>
          </a:prstGeom>
          <a:solidFill>
            <a:srgbClr val="FFFFFF"/>
          </a:solidFill>
          <a:ln w="9525" algn="ctr">
            <a:noFill/>
            <a:miter lim="800000"/>
            <a:headEnd/>
            <a:tailEnd/>
          </a:ln>
          <a:effectLst/>
        </xdr:spPr>
        <xdr:txBody>
          <a:bodyPr vertOverflow="clip" wrap="square" lIns="45720" tIns="41148" rIns="0" bIns="0" anchor="t" upright="1"/>
          <a:lstStyle/>
          <a:p>
            <a:pPr algn="l" rtl="0">
              <a:defRPr sz="1000"/>
            </a:pPr>
            <a:r>
              <a:rPr lang="de-DE" sz="2200" b="1" i="0" u="none" strike="noStrike" baseline="0">
                <a:solidFill>
                  <a:srgbClr val="FF0000"/>
                </a:solidFill>
                <a:latin typeface="Arial"/>
                <a:cs typeface="Arial"/>
              </a:rPr>
              <a:t>BOSCH</a:t>
            </a:r>
          </a:p>
        </xdr:txBody>
      </xdr:sp>
    </xdr:grpSp>
    <xdr:clientData/>
  </xdr:twoCellAnchor>
  <xdr:twoCellAnchor>
    <xdr:from>
      <xdr:col>16</xdr:col>
      <xdr:colOff>330647</xdr:colOff>
      <xdr:row>1</xdr:row>
      <xdr:rowOff>7844</xdr:rowOff>
    </xdr:from>
    <xdr:to>
      <xdr:col>18</xdr:col>
      <xdr:colOff>0</xdr:colOff>
      <xdr:row>5</xdr:row>
      <xdr:rowOff>103095</xdr:rowOff>
    </xdr:to>
    <xdr:pic>
      <xdr:nvPicPr>
        <xdr:cNvPr id="1682" name="Picture 658"/>
        <xdr:cNvPicPr>
          <a:picLocks noChangeAspect="1" noChangeArrowheads="1"/>
        </xdr:cNvPicPr>
      </xdr:nvPicPr>
      <xdr:blipFill>
        <a:blip xmlns:r="http://schemas.openxmlformats.org/officeDocument/2006/relationships" r:embed="rId2" cstate="print">
          <a:clrChange>
            <a:clrFrom>
              <a:srgbClr val="707070"/>
            </a:clrFrom>
            <a:clrTo>
              <a:srgbClr val="707070">
                <a:alpha val="0"/>
              </a:srgbClr>
            </a:clrTo>
          </a:clrChange>
        </a:blip>
        <a:srcRect/>
        <a:stretch>
          <a:fillRect/>
        </a:stretch>
      </xdr:blipFill>
      <xdr:spPr bwMode="auto">
        <a:xfrm>
          <a:off x="10899256" y="397127"/>
          <a:ext cx="580440" cy="1851164"/>
        </a:xfrm>
        <a:prstGeom prst="rect">
          <a:avLst/>
        </a:prstGeom>
        <a:noFill/>
        <a:ln w="9525">
          <a:noFill/>
          <a:miter lim="800000"/>
          <a:headEnd/>
          <a:tailEnd/>
        </a:ln>
        <a:effectLst/>
      </xdr:spPr>
    </xdr:pic>
    <xdr:clientData/>
  </xdr:twoCellAnchor>
  <xdr:twoCellAnchor>
    <xdr:from>
      <xdr:col>0</xdr:col>
      <xdr:colOff>47625</xdr:colOff>
      <xdr:row>0</xdr:row>
      <xdr:rowOff>38100</xdr:rowOff>
    </xdr:from>
    <xdr:to>
      <xdr:col>0</xdr:col>
      <xdr:colOff>457200</xdr:colOff>
      <xdr:row>0</xdr:row>
      <xdr:rowOff>342900</xdr:rowOff>
    </xdr:to>
    <xdr:grpSp>
      <xdr:nvGrpSpPr>
        <xdr:cNvPr id="1691" name="Group 667"/>
        <xdr:cNvGrpSpPr>
          <a:grpSpLocks/>
        </xdr:cNvGrpSpPr>
      </xdr:nvGrpSpPr>
      <xdr:grpSpPr bwMode="auto">
        <a:xfrm rot="-120000">
          <a:off x="47625" y="38100"/>
          <a:ext cx="409575" cy="304800"/>
          <a:chOff x="503" y="348"/>
          <a:chExt cx="78" cy="58"/>
        </a:xfrm>
      </xdr:grpSpPr>
      <xdr:sp macro="" textlink="">
        <xdr:nvSpPr>
          <xdr:cNvPr id="1692" name="Rectangle 668"/>
          <xdr:cNvSpPr>
            <a:spLocks noChangeArrowheads="1"/>
          </xdr:cNvSpPr>
        </xdr:nvSpPr>
        <xdr:spPr bwMode="auto">
          <a:xfrm>
            <a:off x="514" y="350"/>
            <a:ext cx="20" cy="16"/>
          </a:xfrm>
          <a:prstGeom prst="rect">
            <a:avLst/>
          </a:prstGeom>
          <a:solidFill>
            <a:srgbClr val="FFFFFF"/>
          </a:solidFill>
          <a:ln w="9525">
            <a:noFill/>
            <a:miter lim="800000"/>
            <a:headEnd/>
            <a:tailEnd/>
          </a:ln>
        </xdr:spPr>
      </xdr:sp>
      <xdr:sp macro="" textlink="">
        <xdr:nvSpPr>
          <xdr:cNvPr id="1693" name="Rectangle 669"/>
          <xdr:cNvSpPr>
            <a:spLocks noChangeArrowheads="1"/>
          </xdr:cNvSpPr>
        </xdr:nvSpPr>
        <xdr:spPr bwMode="auto">
          <a:xfrm>
            <a:off x="550" y="387"/>
            <a:ext cx="20" cy="16"/>
          </a:xfrm>
          <a:prstGeom prst="rect">
            <a:avLst/>
          </a:prstGeom>
          <a:solidFill>
            <a:srgbClr val="FFFFFF"/>
          </a:solidFill>
          <a:ln w="9525">
            <a:noFill/>
            <a:miter lim="800000"/>
            <a:headEnd/>
            <a:tailEnd/>
          </a:ln>
        </xdr:spPr>
      </xdr:sp>
      <xdr:pic>
        <xdr:nvPicPr>
          <xdr:cNvPr id="1694" name="Picture 670"/>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503" y="348"/>
            <a:ext cx="78" cy="58"/>
          </a:xfrm>
          <a:prstGeom prst="rect">
            <a:avLst/>
          </a:prstGeom>
          <a:noFill/>
          <a:ln w="1">
            <a:noFill/>
            <a:miter lim="800000"/>
            <a:headEnd/>
            <a:tailEnd/>
          </a:ln>
          <a:effectLst/>
        </xdr:spPr>
      </xdr:pic>
    </xdr:grpSp>
    <xdr:clientData/>
  </xdr:twoCellAnchor>
  <mc:AlternateContent xmlns:mc="http://schemas.openxmlformats.org/markup-compatibility/2006">
    <mc:Choice xmlns:a14="http://schemas.microsoft.com/office/drawing/2010/main" Requires="a14">
      <xdr:twoCellAnchor>
        <xdr:from>
          <xdr:col>1</xdr:col>
          <xdr:colOff>638175</xdr:colOff>
          <xdr:row>20</xdr:row>
          <xdr:rowOff>190500</xdr:rowOff>
        </xdr:from>
        <xdr:to>
          <xdr:col>1</xdr:col>
          <xdr:colOff>923925</xdr:colOff>
          <xdr:row>21</xdr:row>
          <xdr:rowOff>219075</xdr:rowOff>
        </xdr:to>
        <xdr:sp macro="" textlink="">
          <xdr:nvSpPr>
            <xdr:cNvPr id="1585" name="Object 561" hidden="1">
              <a:extLst>
                <a:ext uri="{63B3BB69-23CF-44E3-9099-C40C66FF867C}">
                  <a14:compatExt spid="_x0000_s1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L47"/>
  <sheetViews>
    <sheetView tabSelected="1" zoomScale="85" zoomScaleNormal="85" workbookViewId="0">
      <selection activeCell="X36" sqref="X36"/>
    </sheetView>
  </sheetViews>
  <sheetFormatPr defaultColWidth="11.42578125" defaultRowHeight="12.75" x14ac:dyDescent="0.2"/>
  <cols>
    <col min="1" max="1" width="9.140625" style="2" customWidth="1"/>
    <col min="2" max="2" width="59.5703125" style="2" customWidth="1"/>
    <col min="3" max="4" width="12.28515625" style="2" customWidth="1"/>
    <col min="5" max="5" width="10.42578125" style="2" customWidth="1"/>
    <col min="6" max="17" width="5" style="2" customWidth="1"/>
    <col min="18" max="18" width="8.7109375" style="2" customWidth="1"/>
    <col min="19" max="19" width="10.28515625" style="2" customWidth="1"/>
    <col min="20" max="20" width="9" style="2" hidden="1" customWidth="1"/>
    <col min="21" max="21" width="23.5703125" style="2" hidden="1" customWidth="1"/>
    <col min="22" max="22" width="4.7109375" style="2" hidden="1" customWidth="1"/>
    <col min="23" max="23" width="4.28515625" style="2" hidden="1" customWidth="1"/>
    <col min="24" max="24" width="8.28515625" style="2" bestFit="1" customWidth="1"/>
    <col min="25" max="25" width="4.85546875" style="2" bestFit="1" customWidth="1"/>
    <col min="26" max="26" width="4.28515625" style="2" bestFit="1" customWidth="1"/>
    <col min="27" max="29" width="6.42578125" style="2" bestFit="1" customWidth="1"/>
    <col min="30" max="34" width="8.42578125" style="2" bestFit="1" customWidth="1"/>
    <col min="35" max="16384" width="11.42578125" style="2"/>
  </cols>
  <sheetData>
    <row r="1" spans="1:38" ht="30.75" customHeight="1" x14ac:dyDescent="0.2">
      <c r="A1" s="176" t="s">
        <v>131</v>
      </c>
      <c r="B1" s="177"/>
      <c r="C1" s="187">
        <v>2018</v>
      </c>
      <c r="D1" s="187"/>
      <c r="E1" s="141"/>
      <c r="F1" s="75"/>
      <c r="G1" s="75"/>
      <c r="H1" s="75"/>
      <c r="I1" s="75"/>
      <c r="J1" s="75"/>
      <c r="K1" s="75"/>
      <c r="L1" s="75"/>
      <c r="M1" s="75"/>
      <c r="N1" s="75"/>
      <c r="O1" s="75"/>
      <c r="P1" s="75"/>
      <c r="Q1" s="75"/>
      <c r="R1" s="80"/>
      <c r="S1" s="3"/>
      <c r="T1" s="3"/>
      <c r="U1" s="173" t="s">
        <v>138</v>
      </c>
      <c r="V1" s="173"/>
      <c r="W1" s="173"/>
    </row>
    <row r="2" spans="1:38" ht="49.5" customHeight="1" x14ac:dyDescent="0.2">
      <c r="A2" s="158"/>
      <c r="B2" s="153" t="s">
        <v>196</v>
      </c>
      <c r="C2" s="183" t="s">
        <v>105</v>
      </c>
      <c r="D2" s="183"/>
      <c r="E2" s="142"/>
      <c r="F2" s="76"/>
      <c r="G2" s="76"/>
      <c r="H2" s="76"/>
      <c r="I2" s="76"/>
      <c r="J2" s="76"/>
      <c r="K2" s="76"/>
      <c r="L2" s="76"/>
      <c r="M2" s="76"/>
      <c r="N2" s="76"/>
      <c r="O2" s="76"/>
      <c r="P2" s="76"/>
      <c r="Q2" s="76"/>
      <c r="R2" s="81"/>
      <c r="S2" s="79"/>
      <c r="T2" s="3"/>
      <c r="U2" s="91" t="s">
        <v>133</v>
      </c>
      <c r="V2" s="91"/>
      <c r="W2" s="92" t="s">
        <v>51</v>
      </c>
    </row>
    <row r="3" spans="1:38" ht="27" customHeight="1" x14ac:dyDescent="0.2">
      <c r="A3" s="67" t="s">
        <v>104</v>
      </c>
      <c r="B3" s="154" t="s">
        <v>197</v>
      </c>
      <c r="C3" s="188">
        <f>Tabellenwerte!O3</f>
        <v>43465</v>
      </c>
      <c r="D3" s="188"/>
      <c r="E3" s="142"/>
      <c r="F3" s="76"/>
      <c r="G3" s="76"/>
      <c r="H3" s="76"/>
      <c r="I3" s="76"/>
      <c r="J3" s="76"/>
      <c r="K3" s="76"/>
      <c r="L3" s="76"/>
      <c r="M3" s="76"/>
      <c r="N3" s="76"/>
      <c r="O3" s="76"/>
      <c r="P3" s="76"/>
      <c r="Q3" s="76"/>
      <c r="R3" s="178"/>
      <c r="S3" s="79"/>
      <c r="T3" s="3"/>
      <c r="U3" s="91" t="s">
        <v>132</v>
      </c>
      <c r="V3" s="91"/>
      <c r="W3" s="92" t="s">
        <v>52</v>
      </c>
    </row>
    <row r="4" spans="1:38" ht="18.75" x14ac:dyDescent="0.2">
      <c r="A4" s="185" t="s">
        <v>130</v>
      </c>
      <c r="B4" s="186"/>
      <c r="C4" s="151">
        <v>1</v>
      </c>
      <c r="D4" s="152">
        <v>100</v>
      </c>
      <c r="E4" s="142"/>
      <c r="F4" s="76"/>
      <c r="G4" s="76"/>
      <c r="H4" s="76"/>
      <c r="I4" s="76"/>
      <c r="J4" s="76"/>
      <c r="K4" s="76"/>
      <c r="L4" s="76"/>
      <c r="M4" s="76"/>
      <c r="N4" s="76"/>
      <c r="O4" s="76"/>
      <c r="P4" s="76"/>
      <c r="Q4" s="76"/>
      <c r="R4" s="178"/>
      <c r="S4" s="79"/>
      <c r="T4" s="3"/>
      <c r="U4" s="91" t="s">
        <v>131</v>
      </c>
      <c r="V4" s="93">
        <f>Tabellenwerte!O5</f>
        <v>1</v>
      </c>
      <c r="W4" s="92" t="s">
        <v>53</v>
      </c>
    </row>
    <row r="5" spans="1:38" ht="42.75" customHeight="1" x14ac:dyDescent="0.2">
      <c r="A5" s="189" t="s">
        <v>207</v>
      </c>
      <c r="B5" s="190"/>
      <c r="C5" s="190"/>
      <c r="D5" s="191"/>
      <c r="E5" s="142"/>
      <c r="F5" s="76"/>
      <c r="G5" s="76"/>
      <c r="H5" s="76"/>
      <c r="I5" s="76"/>
      <c r="J5" s="76"/>
      <c r="K5" s="76"/>
      <c r="L5" s="76"/>
      <c r="M5" s="76"/>
      <c r="N5" s="76"/>
      <c r="O5" s="76"/>
      <c r="P5" s="76"/>
      <c r="Q5" s="76"/>
      <c r="R5" s="81"/>
      <c r="S5" s="79"/>
      <c r="T5" s="3"/>
      <c r="U5" s="94" t="s">
        <v>78</v>
      </c>
      <c r="V5" s="93">
        <f>Tabellenwerte!O6</f>
        <v>0</v>
      </c>
      <c r="W5" s="95" t="s">
        <v>155</v>
      </c>
    </row>
    <row r="6" spans="1:38" ht="178.5" customHeight="1" x14ac:dyDescent="0.2">
      <c r="A6" s="192"/>
      <c r="B6" s="193"/>
      <c r="C6" s="193"/>
      <c r="D6" s="194"/>
      <c r="E6" s="143"/>
      <c r="F6" s="74"/>
      <c r="G6" s="74"/>
      <c r="H6" s="74"/>
      <c r="I6" s="74"/>
      <c r="J6" s="74"/>
      <c r="K6" s="74"/>
      <c r="L6" s="74"/>
      <c r="M6" s="74"/>
      <c r="N6" s="74"/>
      <c r="O6" s="74"/>
      <c r="P6" s="74"/>
      <c r="Q6" s="74"/>
      <c r="R6" s="82"/>
      <c r="S6" s="21"/>
      <c r="T6" s="3"/>
      <c r="U6" s="91" t="s">
        <v>134</v>
      </c>
      <c r="V6" s="93">
        <f>Tabellenwerte!O7</f>
        <v>0</v>
      </c>
      <c r="W6" s="95" t="s">
        <v>54</v>
      </c>
    </row>
    <row r="7" spans="1:38" ht="24" customHeight="1" x14ac:dyDescent="0.2">
      <c r="A7" s="183" t="s">
        <v>182</v>
      </c>
      <c r="B7" s="183" t="s">
        <v>106</v>
      </c>
      <c r="C7" s="199" t="s">
        <v>180</v>
      </c>
      <c r="D7" s="201" t="s">
        <v>181</v>
      </c>
      <c r="E7" s="199" t="s">
        <v>107</v>
      </c>
      <c r="F7" s="179" t="str">
        <f>"Timetable "&amp;C1</f>
        <v>Timetable 2018</v>
      </c>
      <c r="G7" s="180"/>
      <c r="H7" s="180"/>
      <c r="I7" s="180"/>
      <c r="J7" s="180"/>
      <c r="K7" s="180"/>
      <c r="L7" s="181"/>
      <c r="M7" s="181"/>
      <c r="N7" s="181"/>
      <c r="O7" s="181"/>
      <c r="P7" s="181"/>
      <c r="Q7" s="182"/>
      <c r="R7" s="200" t="s">
        <v>14</v>
      </c>
      <c r="S7" s="174" t="str">
        <f>"Milestone later than "&amp;C1</f>
        <v>Milestone later than 2018</v>
      </c>
      <c r="T7" s="88"/>
      <c r="U7" s="94" t="s">
        <v>79</v>
      </c>
      <c r="V7" s="96"/>
      <c r="W7" s="95" t="s">
        <v>55</v>
      </c>
    </row>
    <row r="8" spans="1:38" ht="21" customHeight="1" x14ac:dyDescent="0.2">
      <c r="A8" s="184"/>
      <c r="B8" s="184"/>
      <c r="C8" s="184" t="s">
        <v>0</v>
      </c>
      <c r="D8" s="202"/>
      <c r="E8" s="184"/>
      <c r="F8" s="71">
        <f>Tabellenwerte!C3</f>
        <v>43131</v>
      </c>
      <c r="G8" s="71">
        <f>Tabellenwerte!D3</f>
        <v>43159</v>
      </c>
      <c r="H8" s="71">
        <f>Tabellenwerte!E3</f>
        <v>43190</v>
      </c>
      <c r="I8" s="71">
        <f>Tabellenwerte!F3</f>
        <v>43220</v>
      </c>
      <c r="J8" s="71">
        <f>Tabellenwerte!G3</f>
        <v>43251</v>
      </c>
      <c r="K8" s="71">
        <f>Tabellenwerte!H3</f>
        <v>43281</v>
      </c>
      <c r="L8" s="71">
        <f>Tabellenwerte!I3</f>
        <v>43312</v>
      </c>
      <c r="M8" s="71">
        <f>Tabellenwerte!J3</f>
        <v>43343</v>
      </c>
      <c r="N8" s="71">
        <f>Tabellenwerte!K3</f>
        <v>43373</v>
      </c>
      <c r="O8" s="71">
        <f>Tabellenwerte!L3</f>
        <v>43404</v>
      </c>
      <c r="P8" s="71">
        <f>Tabellenwerte!M3</f>
        <v>43434</v>
      </c>
      <c r="Q8" s="71">
        <f>Tabellenwerte!N3</f>
        <v>43465</v>
      </c>
      <c r="R8" s="200"/>
      <c r="S8" s="175"/>
      <c r="T8" s="88"/>
      <c r="U8" s="91" t="s">
        <v>135</v>
      </c>
      <c r="V8" s="94"/>
      <c r="W8" s="95" t="s">
        <v>56</v>
      </c>
      <c r="Y8" s="164" t="s">
        <v>105</v>
      </c>
      <c r="AA8" s="2">
        <f>COUNTA(F9:F16)</f>
        <v>0</v>
      </c>
      <c r="AB8" s="2">
        <f>COUNTA(G9:G16)</f>
        <v>0</v>
      </c>
      <c r="AC8" s="2">
        <f t="shared" ref="AC8:AL8" si="0">COUNTA(H9:H16)</f>
        <v>0</v>
      </c>
      <c r="AD8" s="2">
        <f t="shared" si="0"/>
        <v>1</v>
      </c>
      <c r="AE8" s="2">
        <f t="shared" si="0"/>
        <v>1</v>
      </c>
      <c r="AF8" s="2">
        <f t="shared" si="0"/>
        <v>2</v>
      </c>
      <c r="AG8" s="2">
        <f t="shared" si="0"/>
        <v>2</v>
      </c>
      <c r="AH8" s="2">
        <f t="shared" si="0"/>
        <v>3</v>
      </c>
      <c r="AI8" s="2">
        <f t="shared" si="0"/>
        <v>5</v>
      </c>
      <c r="AJ8" s="2">
        <f t="shared" si="0"/>
        <v>4</v>
      </c>
      <c r="AK8" s="2">
        <f t="shared" si="0"/>
        <v>4</v>
      </c>
      <c r="AL8" s="2">
        <f t="shared" si="0"/>
        <v>2</v>
      </c>
    </row>
    <row r="9" spans="1:38" ht="25.5" x14ac:dyDescent="0.2">
      <c r="A9" s="19" t="s">
        <v>44</v>
      </c>
      <c r="B9" s="160" t="s">
        <v>205</v>
      </c>
      <c r="C9" s="155" t="s">
        <v>204</v>
      </c>
      <c r="D9" s="156">
        <v>10</v>
      </c>
      <c r="E9" s="85">
        <v>0.1</v>
      </c>
      <c r="F9" s="27"/>
      <c r="G9" s="27"/>
      <c r="H9" s="30"/>
      <c r="I9" s="30" t="s">
        <v>155</v>
      </c>
      <c r="J9" s="30"/>
      <c r="K9" s="30"/>
      <c r="L9" s="30"/>
      <c r="M9" s="30"/>
      <c r="N9" s="30"/>
      <c r="O9" s="30"/>
      <c r="P9" s="30"/>
      <c r="Q9" s="27"/>
      <c r="R9" s="29" t="e">
        <f>IF(E9=0,"",IF(Tabellenwerte!#REF!=2,$I$23,IF(Tabellenwerte!#REF!=1,$I$22,$I$21)))</f>
        <v>#REF!</v>
      </c>
      <c r="S9" s="33"/>
      <c r="T9" s="89"/>
      <c r="U9" s="91" t="s">
        <v>136</v>
      </c>
      <c r="V9" s="94"/>
      <c r="W9" s="95" t="s">
        <v>154</v>
      </c>
      <c r="X9" s="165">
        <f>E9/Y9</f>
        <v>0.1</v>
      </c>
      <c r="Y9" s="2">
        <f>COUNTA(F9:Q9)</f>
        <v>1</v>
      </c>
      <c r="AA9" s="168">
        <f>COUNTA(F9)*$X9</f>
        <v>0</v>
      </c>
      <c r="AB9" s="168">
        <f t="shared" ref="AB9:AL16" si="1">COUNTA(G9)*$X9</f>
        <v>0</v>
      </c>
      <c r="AC9" s="168">
        <f t="shared" si="1"/>
        <v>0</v>
      </c>
      <c r="AD9" s="168">
        <f t="shared" si="1"/>
        <v>0.1</v>
      </c>
      <c r="AE9" s="168">
        <f t="shared" si="1"/>
        <v>0</v>
      </c>
      <c r="AF9" s="168">
        <f t="shared" si="1"/>
        <v>0</v>
      </c>
      <c r="AG9" s="168">
        <f t="shared" si="1"/>
        <v>0</v>
      </c>
      <c r="AH9" s="168">
        <f t="shared" si="1"/>
        <v>0</v>
      </c>
      <c r="AI9" s="168">
        <f t="shared" si="1"/>
        <v>0</v>
      </c>
      <c r="AJ9" s="168">
        <f t="shared" si="1"/>
        <v>0</v>
      </c>
      <c r="AK9" s="168">
        <f t="shared" si="1"/>
        <v>0</v>
      </c>
      <c r="AL9" s="168">
        <f t="shared" si="1"/>
        <v>0</v>
      </c>
    </row>
    <row r="10" spans="1:38" ht="25.5" x14ac:dyDescent="0.2">
      <c r="A10" s="19"/>
      <c r="B10" s="160" t="s">
        <v>206</v>
      </c>
      <c r="C10" s="155" t="s">
        <v>204</v>
      </c>
      <c r="D10" s="156">
        <v>10</v>
      </c>
      <c r="E10" s="85">
        <v>0.1</v>
      </c>
      <c r="F10" s="27"/>
      <c r="G10" s="27"/>
      <c r="H10" s="30"/>
      <c r="I10" s="30"/>
      <c r="J10" s="30" t="s">
        <v>155</v>
      </c>
      <c r="K10" s="30"/>
      <c r="L10" s="30"/>
      <c r="M10" s="30"/>
      <c r="N10" s="30"/>
      <c r="O10" s="30"/>
      <c r="P10" s="30"/>
      <c r="Q10" s="27"/>
      <c r="R10" s="29" t="s">
        <v>126</v>
      </c>
      <c r="S10" s="33"/>
      <c r="T10" s="89"/>
      <c r="U10" s="91"/>
      <c r="V10" s="94"/>
      <c r="W10" s="95"/>
      <c r="X10" s="165">
        <f t="shared" ref="X10:X16" si="2">E10/Y10</f>
        <v>0.1</v>
      </c>
      <c r="Y10" s="2">
        <f t="shared" ref="Y10:Y16" si="3">COUNTA(F10:Q10)</f>
        <v>1</v>
      </c>
      <c r="AA10" s="168">
        <f t="shared" ref="AA10:AA16" si="4">COUNTA(F10)*$X10</f>
        <v>0</v>
      </c>
      <c r="AB10" s="168">
        <f t="shared" si="1"/>
        <v>0</v>
      </c>
      <c r="AC10" s="168">
        <f t="shared" si="1"/>
        <v>0</v>
      </c>
      <c r="AD10" s="168">
        <f t="shared" si="1"/>
        <v>0</v>
      </c>
      <c r="AE10" s="168">
        <f t="shared" si="1"/>
        <v>0.1</v>
      </c>
      <c r="AF10" s="168">
        <f t="shared" si="1"/>
        <v>0</v>
      </c>
      <c r="AG10" s="168">
        <f t="shared" si="1"/>
        <v>0</v>
      </c>
      <c r="AH10" s="168">
        <f t="shared" si="1"/>
        <v>0</v>
      </c>
      <c r="AI10" s="168">
        <f t="shared" si="1"/>
        <v>0</v>
      </c>
      <c r="AJ10" s="168">
        <f t="shared" si="1"/>
        <v>0</v>
      </c>
      <c r="AK10" s="168">
        <f t="shared" si="1"/>
        <v>0</v>
      </c>
      <c r="AL10" s="168">
        <f t="shared" si="1"/>
        <v>0</v>
      </c>
    </row>
    <row r="11" spans="1:38" ht="25.5" x14ac:dyDescent="0.2">
      <c r="A11" s="69" t="s">
        <v>45</v>
      </c>
      <c r="B11" s="161" t="s">
        <v>198</v>
      </c>
      <c r="C11" s="155" t="s">
        <v>204</v>
      </c>
      <c r="D11" s="156">
        <v>20</v>
      </c>
      <c r="E11" s="85">
        <v>0.2</v>
      </c>
      <c r="F11" s="27"/>
      <c r="G11" s="27"/>
      <c r="H11" s="30"/>
      <c r="I11" s="30"/>
      <c r="J11" s="30"/>
      <c r="K11" s="30" t="s">
        <v>51</v>
      </c>
      <c r="L11" s="30" t="s">
        <v>52</v>
      </c>
      <c r="M11" s="30"/>
      <c r="N11" s="30"/>
      <c r="O11" s="30"/>
      <c r="P11" s="30"/>
      <c r="Q11" s="27"/>
      <c r="R11" s="29" t="e">
        <f>IF(E11=0,"",IF(Tabellenwerte!#REF!=2,$I$23,IF(Tabellenwerte!#REF!=1,$I$22,$I$21)))</f>
        <v>#REF!</v>
      </c>
      <c r="S11" s="33"/>
      <c r="T11" s="89"/>
      <c r="U11" s="91"/>
      <c r="V11" s="94"/>
      <c r="W11" s="95"/>
      <c r="X11" s="165">
        <f t="shared" si="2"/>
        <v>0.1</v>
      </c>
      <c r="Y11" s="2">
        <f t="shared" si="3"/>
        <v>2</v>
      </c>
      <c r="AA11" s="168">
        <f t="shared" si="4"/>
        <v>0</v>
      </c>
      <c r="AB11" s="168">
        <f t="shared" si="1"/>
        <v>0</v>
      </c>
      <c r="AC11" s="168">
        <f t="shared" si="1"/>
        <v>0</v>
      </c>
      <c r="AD11" s="168">
        <f t="shared" si="1"/>
        <v>0</v>
      </c>
      <c r="AE11" s="168">
        <f t="shared" si="1"/>
        <v>0</v>
      </c>
      <c r="AF11" s="168">
        <f t="shared" si="1"/>
        <v>0.1</v>
      </c>
      <c r="AG11" s="168">
        <f t="shared" si="1"/>
        <v>0.1</v>
      </c>
      <c r="AH11" s="168">
        <f t="shared" si="1"/>
        <v>0</v>
      </c>
      <c r="AI11" s="168">
        <f t="shared" si="1"/>
        <v>0</v>
      </c>
      <c r="AJ11" s="168">
        <f t="shared" si="1"/>
        <v>0</v>
      </c>
      <c r="AK11" s="168">
        <f t="shared" si="1"/>
        <v>0</v>
      </c>
      <c r="AL11" s="168">
        <f t="shared" si="1"/>
        <v>0</v>
      </c>
    </row>
    <row r="12" spans="1:38" ht="25.5" x14ac:dyDescent="0.2">
      <c r="A12" s="19" t="s">
        <v>46</v>
      </c>
      <c r="B12" s="162" t="s">
        <v>199</v>
      </c>
      <c r="C12" s="155" t="s">
        <v>204</v>
      </c>
      <c r="D12" s="156">
        <v>20</v>
      </c>
      <c r="E12" s="85">
        <v>0.2</v>
      </c>
      <c r="F12" s="30"/>
      <c r="G12" s="30"/>
      <c r="H12" s="30"/>
      <c r="J12" s="30"/>
      <c r="K12" s="27"/>
      <c r="L12" s="30"/>
      <c r="M12" s="30" t="s">
        <v>51</v>
      </c>
      <c r="N12" s="30" t="s">
        <v>52</v>
      </c>
      <c r="O12" s="30"/>
      <c r="P12" s="30"/>
      <c r="Q12" s="27"/>
      <c r="R12" s="29" t="e">
        <f>IF(E12=0,"",IF(Tabellenwerte!#REF!=2,$I$23,IF(Tabellenwerte!#REF!=1,$I$22,$I$21)))</f>
        <v>#REF!</v>
      </c>
      <c r="S12" s="34"/>
      <c r="T12" s="90"/>
      <c r="U12" s="91" t="s">
        <v>137</v>
      </c>
      <c r="V12" s="94"/>
      <c r="W12" s="94"/>
      <c r="X12" s="165">
        <f t="shared" si="2"/>
        <v>0.1</v>
      </c>
      <c r="Y12" s="2">
        <f t="shared" si="3"/>
        <v>2</v>
      </c>
      <c r="AA12" s="168">
        <f t="shared" si="4"/>
        <v>0</v>
      </c>
      <c r="AB12" s="168">
        <f t="shared" si="1"/>
        <v>0</v>
      </c>
      <c r="AC12" s="168">
        <f t="shared" si="1"/>
        <v>0</v>
      </c>
      <c r="AD12" s="168">
        <f t="shared" si="1"/>
        <v>0</v>
      </c>
      <c r="AE12" s="168">
        <f t="shared" si="1"/>
        <v>0</v>
      </c>
      <c r="AF12" s="168">
        <f t="shared" si="1"/>
        <v>0</v>
      </c>
      <c r="AG12" s="168">
        <f t="shared" si="1"/>
        <v>0</v>
      </c>
      <c r="AH12" s="168">
        <f t="shared" si="1"/>
        <v>0.1</v>
      </c>
      <c r="AI12" s="168">
        <f t="shared" si="1"/>
        <v>0.1</v>
      </c>
      <c r="AJ12" s="168">
        <f t="shared" si="1"/>
        <v>0</v>
      </c>
      <c r="AK12" s="168">
        <f t="shared" si="1"/>
        <v>0</v>
      </c>
      <c r="AL12" s="168">
        <f t="shared" si="1"/>
        <v>0</v>
      </c>
    </row>
    <row r="13" spans="1:38" ht="25.5" x14ac:dyDescent="0.2">
      <c r="A13" s="69" t="s">
        <v>47</v>
      </c>
      <c r="B13" s="163" t="s">
        <v>200</v>
      </c>
      <c r="C13" s="155" t="s">
        <v>204</v>
      </c>
      <c r="D13" s="156">
        <v>20</v>
      </c>
      <c r="E13" s="85">
        <v>0.2</v>
      </c>
      <c r="F13" s="27"/>
      <c r="G13" s="30"/>
      <c r="H13" s="30"/>
      <c r="I13" s="30"/>
      <c r="K13" s="27"/>
      <c r="L13" s="27"/>
      <c r="M13" s="27"/>
      <c r="N13" s="27" t="s">
        <v>51</v>
      </c>
      <c r="O13" s="27" t="s">
        <v>208</v>
      </c>
      <c r="P13" s="27" t="s">
        <v>52</v>
      </c>
      <c r="Q13" s="27"/>
      <c r="R13" s="29" t="e">
        <f>IF(E13=0,"",IF(Tabellenwerte!#REF!=2,$I$23,IF(Tabellenwerte!#REF!=1,$I$22,$I$21)))</f>
        <v>#REF!</v>
      </c>
      <c r="S13" s="34"/>
      <c r="T13" s="90"/>
      <c r="X13" s="166">
        <f t="shared" si="2"/>
        <v>6.6666666666666666E-2</v>
      </c>
      <c r="Y13" s="2">
        <f t="shared" si="3"/>
        <v>3</v>
      </c>
      <c r="AA13" s="168">
        <f t="shared" si="4"/>
        <v>0</v>
      </c>
      <c r="AB13" s="168">
        <f t="shared" si="1"/>
        <v>0</v>
      </c>
      <c r="AC13" s="168">
        <f t="shared" si="1"/>
        <v>0</v>
      </c>
      <c r="AD13" s="168">
        <f t="shared" si="1"/>
        <v>0</v>
      </c>
      <c r="AE13" s="168">
        <f t="shared" si="1"/>
        <v>0</v>
      </c>
      <c r="AF13" s="168">
        <f t="shared" si="1"/>
        <v>0</v>
      </c>
      <c r="AG13" s="168">
        <f t="shared" si="1"/>
        <v>0</v>
      </c>
      <c r="AH13" s="168">
        <f t="shared" si="1"/>
        <v>0</v>
      </c>
      <c r="AI13" s="168">
        <f t="shared" si="1"/>
        <v>6.6666666666666666E-2</v>
      </c>
      <c r="AJ13" s="168">
        <f t="shared" si="1"/>
        <v>6.6666666666666666E-2</v>
      </c>
      <c r="AK13" s="168">
        <f t="shared" si="1"/>
        <v>6.6666666666666666E-2</v>
      </c>
      <c r="AL13" s="168">
        <f t="shared" si="1"/>
        <v>0</v>
      </c>
    </row>
    <row r="14" spans="1:38" ht="25.5" x14ac:dyDescent="0.2">
      <c r="A14" s="19" t="s">
        <v>48</v>
      </c>
      <c r="B14" s="162" t="s">
        <v>201</v>
      </c>
      <c r="C14" s="155" t="s">
        <v>204</v>
      </c>
      <c r="D14" s="156">
        <v>10</v>
      </c>
      <c r="E14" s="85">
        <v>0.1</v>
      </c>
      <c r="F14" s="27"/>
      <c r="G14" s="27"/>
      <c r="H14" s="27"/>
      <c r="I14" s="30"/>
      <c r="J14" s="30"/>
      <c r="K14" s="30"/>
      <c r="L14" s="30"/>
      <c r="M14" s="27" t="s">
        <v>51</v>
      </c>
      <c r="N14" s="27" t="s">
        <v>208</v>
      </c>
      <c r="O14" s="27" t="s">
        <v>208</v>
      </c>
      <c r="P14" s="27" t="s">
        <v>208</v>
      </c>
      <c r="Q14" s="27" t="s">
        <v>52</v>
      </c>
      <c r="R14" s="29" t="e">
        <f>IF(E14=0,"",IF(Tabellenwerte!#REF!=2,$I$23,IF(Tabellenwerte!#REF!=1,$I$22,$I$21)))</f>
        <v>#REF!</v>
      </c>
      <c r="S14" s="68"/>
      <c r="T14" s="90"/>
      <c r="X14" s="166">
        <f t="shared" si="2"/>
        <v>0.02</v>
      </c>
      <c r="Y14" s="2">
        <f t="shared" si="3"/>
        <v>5</v>
      </c>
      <c r="AA14" s="168">
        <f t="shared" si="4"/>
        <v>0</v>
      </c>
      <c r="AB14" s="168">
        <f t="shared" si="1"/>
        <v>0</v>
      </c>
      <c r="AC14" s="168">
        <f t="shared" si="1"/>
        <v>0</v>
      </c>
      <c r="AD14" s="168">
        <f t="shared" si="1"/>
        <v>0</v>
      </c>
      <c r="AE14" s="168">
        <f t="shared" si="1"/>
        <v>0</v>
      </c>
      <c r="AF14" s="168">
        <f t="shared" si="1"/>
        <v>0</v>
      </c>
      <c r="AG14" s="168">
        <f t="shared" si="1"/>
        <v>0</v>
      </c>
      <c r="AH14" s="168">
        <f t="shared" si="1"/>
        <v>0.02</v>
      </c>
      <c r="AI14" s="168">
        <f t="shared" si="1"/>
        <v>0.02</v>
      </c>
      <c r="AJ14" s="168">
        <f t="shared" si="1"/>
        <v>0.02</v>
      </c>
      <c r="AK14" s="168">
        <f t="shared" si="1"/>
        <v>0.02</v>
      </c>
      <c r="AL14" s="168">
        <f t="shared" si="1"/>
        <v>0.02</v>
      </c>
    </row>
    <row r="15" spans="1:38" ht="25.5" x14ac:dyDescent="0.2">
      <c r="A15" s="69" t="s">
        <v>49</v>
      </c>
      <c r="B15" s="163" t="s">
        <v>202</v>
      </c>
      <c r="C15" s="155" t="s">
        <v>204</v>
      </c>
      <c r="D15" s="156">
        <v>5</v>
      </c>
      <c r="E15" s="85">
        <v>0.05</v>
      </c>
      <c r="F15" s="27"/>
      <c r="G15" s="27"/>
      <c r="H15" s="27"/>
      <c r="I15" s="27"/>
      <c r="J15" s="30"/>
      <c r="K15" s="30"/>
      <c r="L15" s="30"/>
      <c r="M15" s="27"/>
      <c r="N15" s="27" t="s">
        <v>51</v>
      </c>
      <c r="O15" s="27" t="s">
        <v>208</v>
      </c>
      <c r="P15" s="27" t="s">
        <v>52</v>
      </c>
      <c r="Q15" s="27"/>
      <c r="R15" s="29" t="e">
        <f>IF(E15=0,"",IF(Tabellenwerte!#REF!=2,$I$23,IF(Tabellenwerte!#REF!=1,$I$22,$I$21)))</f>
        <v>#REF!</v>
      </c>
      <c r="S15" s="68"/>
      <c r="T15" s="90"/>
      <c r="X15" s="167">
        <f t="shared" si="2"/>
        <v>1.6666666666666666E-2</v>
      </c>
      <c r="Y15" s="2">
        <f t="shared" si="3"/>
        <v>3</v>
      </c>
      <c r="AA15" s="168">
        <f t="shared" si="4"/>
        <v>0</v>
      </c>
      <c r="AB15" s="168">
        <f t="shared" si="1"/>
        <v>0</v>
      </c>
      <c r="AC15" s="168">
        <f t="shared" si="1"/>
        <v>0</v>
      </c>
      <c r="AD15" s="168">
        <f t="shared" si="1"/>
        <v>0</v>
      </c>
      <c r="AE15" s="168">
        <f t="shared" si="1"/>
        <v>0</v>
      </c>
      <c r="AF15" s="168">
        <f t="shared" si="1"/>
        <v>0</v>
      </c>
      <c r="AG15" s="168">
        <f t="shared" si="1"/>
        <v>0</v>
      </c>
      <c r="AH15" s="168">
        <f t="shared" si="1"/>
        <v>0</v>
      </c>
      <c r="AI15" s="168">
        <f t="shared" si="1"/>
        <v>1.6666666666666666E-2</v>
      </c>
      <c r="AJ15" s="168">
        <f t="shared" si="1"/>
        <v>1.6666666666666666E-2</v>
      </c>
      <c r="AK15" s="168">
        <f t="shared" si="1"/>
        <v>1.6666666666666666E-2</v>
      </c>
      <c r="AL15" s="168">
        <f t="shared" si="1"/>
        <v>0</v>
      </c>
    </row>
    <row r="16" spans="1:38" ht="25.5" x14ac:dyDescent="0.2">
      <c r="A16" s="69" t="s">
        <v>193</v>
      </c>
      <c r="B16" s="163" t="s">
        <v>203</v>
      </c>
      <c r="C16" s="155" t="s">
        <v>204</v>
      </c>
      <c r="D16" s="156">
        <v>5</v>
      </c>
      <c r="E16" s="86">
        <v>0.05</v>
      </c>
      <c r="F16" s="27"/>
      <c r="G16" s="27"/>
      <c r="H16" s="28"/>
      <c r="I16" s="27"/>
      <c r="J16" s="27"/>
      <c r="K16" s="30" t="s">
        <v>51</v>
      </c>
      <c r="L16" s="30" t="s">
        <v>208</v>
      </c>
      <c r="M16" s="27" t="s">
        <v>208</v>
      </c>
      <c r="N16" s="27" t="s">
        <v>208</v>
      </c>
      <c r="O16" s="27" t="s">
        <v>208</v>
      </c>
      <c r="P16" s="27" t="s">
        <v>208</v>
      </c>
      <c r="Q16" s="27" t="s">
        <v>52</v>
      </c>
      <c r="R16" s="29" t="e">
        <f>IF(E16=0,"",IF(Tabellenwerte!#REF!=2,$I$23,IF(Tabellenwerte!#REF!=1,$I$22,$I$21)))</f>
        <v>#REF!</v>
      </c>
      <c r="S16" s="34"/>
      <c r="T16" s="90"/>
      <c r="X16" s="166">
        <f t="shared" si="2"/>
        <v>7.1428571428571435E-3</v>
      </c>
      <c r="Y16" s="2">
        <f t="shared" si="3"/>
        <v>7</v>
      </c>
      <c r="AA16" s="168">
        <f t="shared" si="4"/>
        <v>0</v>
      </c>
      <c r="AB16" s="168">
        <f t="shared" si="1"/>
        <v>0</v>
      </c>
      <c r="AC16" s="168">
        <f t="shared" si="1"/>
        <v>0</v>
      </c>
      <c r="AD16" s="168">
        <f t="shared" si="1"/>
        <v>0</v>
      </c>
      <c r="AE16" s="168">
        <f t="shared" si="1"/>
        <v>0</v>
      </c>
      <c r="AF16" s="168">
        <f t="shared" si="1"/>
        <v>7.1428571428571435E-3</v>
      </c>
      <c r="AG16" s="168">
        <f t="shared" si="1"/>
        <v>7.1428571428571435E-3</v>
      </c>
      <c r="AH16" s="168">
        <f t="shared" si="1"/>
        <v>7.1428571428571435E-3</v>
      </c>
      <c r="AI16" s="168">
        <f t="shared" si="1"/>
        <v>7.1428571428571435E-3</v>
      </c>
      <c r="AJ16" s="168">
        <f t="shared" si="1"/>
        <v>7.1428571428571435E-3</v>
      </c>
      <c r="AK16" s="168">
        <f t="shared" si="1"/>
        <v>7.1428571428571435E-3</v>
      </c>
      <c r="AL16" s="168">
        <f t="shared" si="1"/>
        <v>7.1428571428571435E-3</v>
      </c>
    </row>
    <row r="17" spans="1:38" ht="19.5" thickBot="1" x14ac:dyDescent="0.25">
      <c r="A17" s="69" t="s">
        <v>194</v>
      </c>
      <c r="B17" s="157"/>
      <c r="C17" s="155"/>
      <c r="D17" s="156"/>
      <c r="E17" s="86"/>
      <c r="F17" s="27"/>
      <c r="G17" s="27"/>
      <c r="H17" s="27"/>
      <c r="I17" s="27"/>
      <c r="J17" s="27"/>
      <c r="K17" s="27"/>
      <c r="L17" s="27"/>
      <c r="M17" s="27"/>
      <c r="N17" s="28"/>
      <c r="O17" s="28"/>
      <c r="P17" s="27"/>
      <c r="Q17" s="27"/>
      <c r="R17" s="29" t="str">
        <f>IF(E17=0,"",IF(Tabellenwerte!#REF!=2,$I$23,IF(Tabellenwerte!#REF!=1,$I$22,$I$21)))</f>
        <v/>
      </c>
      <c r="S17" s="34"/>
      <c r="T17" s="90"/>
      <c r="X17" s="165"/>
      <c r="AA17" s="165">
        <f>SUM(AA9:AA16)</f>
        <v>0</v>
      </c>
      <c r="AB17" s="165">
        <f t="shared" ref="AB17:AL17" si="5">SUM(AB9:AB16)</f>
        <v>0</v>
      </c>
      <c r="AC17" s="165">
        <f t="shared" si="5"/>
        <v>0</v>
      </c>
      <c r="AD17" s="165">
        <f t="shared" si="5"/>
        <v>0.1</v>
      </c>
      <c r="AE17" s="165">
        <f t="shared" si="5"/>
        <v>0.1</v>
      </c>
      <c r="AF17" s="165">
        <f t="shared" si="5"/>
        <v>0.10714285714285715</v>
      </c>
      <c r="AG17" s="165">
        <f t="shared" si="5"/>
        <v>0.10714285714285715</v>
      </c>
      <c r="AH17" s="165">
        <f t="shared" si="5"/>
        <v>0.12714285714285714</v>
      </c>
      <c r="AI17" s="165">
        <f t="shared" si="5"/>
        <v>0.21047619047619048</v>
      </c>
      <c r="AJ17" s="165">
        <f t="shared" si="5"/>
        <v>0.11047619047619048</v>
      </c>
      <c r="AK17" s="165">
        <f t="shared" si="5"/>
        <v>0.11047619047619048</v>
      </c>
      <c r="AL17" s="165">
        <f t="shared" si="5"/>
        <v>2.7142857142857142E-2</v>
      </c>
    </row>
    <row r="18" spans="1:38" ht="20.25" thickTop="1" thickBot="1" x14ac:dyDescent="0.25">
      <c r="A18" s="69" t="s">
        <v>195</v>
      </c>
      <c r="B18" s="157"/>
      <c r="C18" s="155"/>
      <c r="D18" s="156"/>
      <c r="E18" s="86"/>
      <c r="F18" s="27"/>
      <c r="G18" s="27"/>
      <c r="H18" s="27"/>
      <c r="I18" s="27"/>
      <c r="J18" s="27"/>
      <c r="K18" s="27"/>
      <c r="L18" s="27"/>
      <c r="M18" s="27"/>
      <c r="N18" s="28"/>
      <c r="O18" s="28"/>
      <c r="P18" s="27"/>
      <c r="Q18" s="27"/>
      <c r="R18" s="29" t="str">
        <f>IF(E18=0,"",IF(Tabellenwerte!#REF!=2,$I$23,IF(Tabellenwerte!#REF!=1,$I$22,$I$21)))</f>
        <v/>
      </c>
      <c r="S18" s="34"/>
      <c r="T18" s="90"/>
      <c r="X18" s="165"/>
      <c r="AA18" s="169">
        <v>0</v>
      </c>
      <c r="AB18" s="170">
        <f>AA18+AB17</f>
        <v>0</v>
      </c>
      <c r="AC18" s="170">
        <f t="shared" ref="AC18:AL18" si="6">AB18+AC17</f>
        <v>0</v>
      </c>
      <c r="AD18" s="170">
        <f t="shared" si="6"/>
        <v>0.1</v>
      </c>
      <c r="AE18" s="170">
        <f t="shared" si="6"/>
        <v>0.2</v>
      </c>
      <c r="AF18" s="170">
        <f t="shared" si="6"/>
        <v>0.30714285714285716</v>
      </c>
      <c r="AG18" s="170">
        <f t="shared" si="6"/>
        <v>0.41428571428571431</v>
      </c>
      <c r="AH18" s="170">
        <f t="shared" si="6"/>
        <v>0.54142857142857148</v>
      </c>
      <c r="AI18" s="170">
        <f t="shared" si="6"/>
        <v>0.75190476190476196</v>
      </c>
      <c r="AJ18" s="170">
        <f t="shared" si="6"/>
        <v>0.86238095238095247</v>
      </c>
      <c r="AK18" s="170">
        <f t="shared" si="6"/>
        <v>0.97285714285714298</v>
      </c>
      <c r="AL18" s="171">
        <f t="shared" si="6"/>
        <v>1.0000000000000002</v>
      </c>
    </row>
    <row r="19" spans="1:38" ht="24" customHeight="1" thickTop="1" x14ac:dyDescent="0.2">
      <c r="A19" s="144"/>
      <c r="B19" s="145"/>
      <c r="C19" s="146" t="s">
        <v>122</v>
      </c>
      <c r="D19" s="140">
        <f>SUM(D9:D18)</f>
        <v>100</v>
      </c>
      <c r="E19" s="87">
        <f>SUM(E9:E18)</f>
        <v>1</v>
      </c>
      <c r="F19" s="196" t="s">
        <v>121</v>
      </c>
      <c r="G19" s="197"/>
      <c r="H19" s="197"/>
      <c r="I19" s="197"/>
      <c r="J19" s="197"/>
      <c r="K19" s="197"/>
      <c r="L19" s="197"/>
      <c r="M19" s="197"/>
      <c r="N19" s="197"/>
      <c r="O19" s="197"/>
      <c r="P19" s="197"/>
      <c r="Q19" s="198"/>
      <c r="R19" s="29" t="s">
        <v>126</v>
      </c>
    </row>
    <row r="20" spans="1:38" ht="18.75" x14ac:dyDescent="0.2">
      <c r="A20" s="99"/>
      <c r="B20" s="100" t="s">
        <v>123</v>
      </c>
      <c r="C20" s="101" t="s">
        <v>51</v>
      </c>
      <c r="D20" s="102" t="s">
        <v>111</v>
      </c>
      <c r="E20" s="103" t="s">
        <v>124</v>
      </c>
      <c r="F20" s="104" t="s">
        <v>54</v>
      </c>
      <c r="G20" s="102" t="s">
        <v>111</v>
      </c>
      <c r="H20" s="114"/>
      <c r="I20" s="128" t="s">
        <v>114</v>
      </c>
      <c r="J20" s="117"/>
      <c r="K20" s="75"/>
      <c r="L20" s="75"/>
      <c r="M20" s="75"/>
      <c r="N20" s="118"/>
      <c r="O20" s="129" t="s">
        <v>125</v>
      </c>
      <c r="P20" s="130"/>
      <c r="Q20" s="130"/>
      <c r="R20" s="131"/>
    </row>
    <row r="21" spans="1:38" ht="18.75" x14ac:dyDescent="0.2">
      <c r="A21" s="105"/>
      <c r="B21" s="76"/>
      <c r="C21" s="106" t="s">
        <v>52</v>
      </c>
      <c r="D21" s="107" t="s">
        <v>112</v>
      </c>
      <c r="E21" s="107"/>
      <c r="F21" s="108" t="s">
        <v>55</v>
      </c>
      <c r="G21" s="107" t="s">
        <v>112</v>
      </c>
      <c r="H21" s="115"/>
      <c r="I21" s="83" t="s">
        <v>126</v>
      </c>
      <c r="J21" s="119" t="s">
        <v>115</v>
      </c>
      <c r="K21" s="120"/>
      <c r="L21" s="121"/>
      <c r="M21" s="121"/>
      <c r="N21" s="122"/>
      <c r="O21" s="83" t="s">
        <v>126</v>
      </c>
      <c r="P21" s="119" t="s">
        <v>118</v>
      </c>
      <c r="Q21" s="120"/>
      <c r="R21" s="134"/>
      <c r="Z21" s="137"/>
    </row>
    <row r="22" spans="1:38" ht="18.75" x14ac:dyDescent="0.2">
      <c r="A22" s="105"/>
      <c r="B22" s="76"/>
      <c r="C22" s="106" t="s">
        <v>53</v>
      </c>
      <c r="D22" s="107" t="s">
        <v>113</v>
      </c>
      <c r="E22" s="107"/>
      <c r="F22" s="108" t="s">
        <v>56</v>
      </c>
      <c r="G22" s="107" t="s">
        <v>113</v>
      </c>
      <c r="H22" s="115"/>
      <c r="I22" s="84" t="s">
        <v>127</v>
      </c>
      <c r="J22" s="119" t="s">
        <v>116</v>
      </c>
      <c r="K22" s="120"/>
      <c r="L22" s="76"/>
      <c r="M22" s="76"/>
      <c r="N22" s="122"/>
      <c r="O22" s="84" t="s">
        <v>127</v>
      </c>
      <c r="P22" s="119" t="s">
        <v>119</v>
      </c>
      <c r="Q22" s="120"/>
      <c r="R22" s="132"/>
      <c r="S22" s="4"/>
      <c r="T22" s="4"/>
      <c r="Z22" s="137"/>
    </row>
    <row r="23" spans="1:38" ht="18.75" x14ac:dyDescent="0.2">
      <c r="A23" s="109" t="s">
        <v>185</v>
      </c>
      <c r="B23" s="110"/>
      <c r="C23" s="111" t="s">
        <v>155</v>
      </c>
      <c r="D23" s="112" t="s">
        <v>156</v>
      </c>
      <c r="E23" s="112"/>
      <c r="F23" s="111" t="s">
        <v>154</v>
      </c>
      <c r="G23" s="113" t="s">
        <v>156</v>
      </c>
      <c r="H23" s="116"/>
      <c r="I23" s="20" t="s">
        <v>128</v>
      </c>
      <c r="J23" s="123" t="s">
        <v>117</v>
      </c>
      <c r="K23" s="124"/>
      <c r="L23" s="125"/>
      <c r="M23" s="126"/>
      <c r="N23" s="127"/>
      <c r="O23" s="20" t="s">
        <v>128</v>
      </c>
      <c r="P23" s="123" t="s">
        <v>120</v>
      </c>
      <c r="Q23" s="124"/>
      <c r="R23" s="133"/>
    </row>
    <row r="24" spans="1:38" ht="15" customHeight="1" x14ac:dyDescent="0.2">
      <c r="R24" s="5"/>
    </row>
    <row r="25" spans="1:38" x14ac:dyDescent="0.2">
      <c r="A25" s="139" t="s">
        <v>179</v>
      </c>
      <c r="B25" s="195" t="s">
        <v>178</v>
      </c>
      <c r="C25" s="195"/>
      <c r="D25" s="66"/>
      <c r="E25" s="37" t="s">
        <v>68</v>
      </c>
      <c r="F25" s="1"/>
      <c r="G25" s="3"/>
      <c r="H25" s="1"/>
      <c r="I25" s="1"/>
      <c r="J25" s="1"/>
      <c r="K25" s="1"/>
      <c r="L25" s="1"/>
    </row>
    <row r="26" spans="1:38" x14ac:dyDescent="0.2">
      <c r="A26" s="39">
        <v>1</v>
      </c>
      <c r="B26" s="138" t="s">
        <v>157</v>
      </c>
      <c r="C26" s="36"/>
      <c r="D26" s="36"/>
      <c r="E26" s="38" t="s">
        <v>67</v>
      </c>
    </row>
    <row r="27" spans="1:38" x14ac:dyDescent="0.2">
      <c r="A27" s="39">
        <v>2</v>
      </c>
      <c r="B27" s="138" t="s">
        <v>158</v>
      </c>
      <c r="C27" s="36"/>
      <c r="D27" s="36"/>
      <c r="E27" s="38" t="s">
        <v>69</v>
      </c>
    </row>
    <row r="28" spans="1:38" x14ac:dyDescent="0.2">
      <c r="A28" s="39">
        <v>3</v>
      </c>
      <c r="B28" s="138" t="s">
        <v>159</v>
      </c>
      <c r="C28" s="36"/>
      <c r="D28" s="36"/>
      <c r="E28" s="38" t="s">
        <v>70</v>
      </c>
    </row>
    <row r="29" spans="1:38" x14ac:dyDescent="0.2">
      <c r="A29" s="39">
        <v>4</v>
      </c>
      <c r="B29" s="138" t="s">
        <v>162</v>
      </c>
      <c r="C29" s="36"/>
      <c r="D29" s="36"/>
      <c r="E29" s="38" t="s">
        <v>71</v>
      </c>
    </row>
    <row r="30" spans="1:38" ht="13.5" customHeight="1" x14ac:dyDescent="0.2">
      <c r="A30" s="39">
        <v>5</v>
      </c>
      <c r="B30" s="138" t="s">
        <v>160</v>
      </c>
      <c r="C30" s="36"/>
      <c r="D30" s="36"/>
      <c r="E30" s="38" t="s">
        <v>77</v>
      </c>
    </row>
    <row r="31" spans="1:38" x14ac:dyDescent="0.2">
      <c r="A31" s="39">
        <v>6</v>
      </c>
      <c r="B31" s="138" t="s">
        <v>161</v>
      </c>
      <c r="C31" s="36"/>
      <c r="D31" s="36"/>
      <c r="E31" s="38" t="s">
        <v>72</v>
      </c>
    </row>
    <row r="32" spans="1:38" x14ac:dyDescent="0.2">
      <c r="A32" s="136" t="s">
        <v>152</v>
      </c>
      <c r="B32" s="138" t="s">
        <v>163</v>
      </c>
      <c r="C32" s="36"/>
      <c r="D32" s="36"/>
      <c r="E32" s="38" t="s">
        <v>73</v>
      </c>
    </row>
    <row r="33" spans="1:5" x14ac:dyDescent="0.2">
      <c r="A33" s="136" t="s">
        <v>153</v>
      </c>
      <c r="B33" s="138" t="s">
        <v>164</v>
      </c>
      <c r="C33" s="36"/>
      <c r="D33" s="36"/>
      <c r="E33" s="38" t="s">
        <v>139</v>
      </c>
    </row>
    <row r="34" spans="1:5" x14ac:dyDescent="0.2">
      <c r="A34" s="39">
        <v>8</v>
      </c>
      <c r="B34" s="138" t="s">
        <v>165</v>
      </c>
      <c r="C34" s="36"/>
      <c r="D34" s="36"/>
      <c r="E34" s="38" t="s">
        <v>74</v>
      </c>
    </row>
    <row r="35" spans="1:5" x14ac:dyDescent="0.2">
      <c r="A35" s="39">
        <v>9</v>
      </c>
      <c r="B35" s="138" t="s">
        <v>166</v>
      </c>
      <c r="C35" s="36"/>
      <c r="D35" s="36"/>
      <c r="E35" s="38" t="s">
        <v>140</v>
      </c>
    </row>
    <row r="36" spans="1:5" x14ac:dyDescent="0.2">
      <c r="A36" s="39">
        <v>10</v>
      </c>
      <c r="B36" s="138" t="s">
        <v>167</v>
      </c>
      <c r="C36" s="36"/>
      <c r="D36" s="36"/>
      <c r="E36" s="38" t="s">
        <v>141</v>
      </c>
    </row>
    <row r="37" spans="1:5" x14ac:dyDescent="0.2">
      <c r="A37" s="39">
        <v>11</v>
      </c>
      <c r="B37" s="138" t="s">
        <v>168</v>
      </c>
      <c r="C37" s="36"/>
      <c r="D37" s="36"/>
      <c r="E37" s="38" t="s">
        <v>142</v>
      </c>
    </row>
    <row r="38" spans="1:5" ht="25.5" x14ac:dyDescent="0.2">
      <c r="A38" s="39">
        <v>12</v>
      </c>
      <c r="B38" s="138" t="s">
        <v>169</v>
      </c>
      <c r="C38" s="36"/>
      <c r="D38" s="36"/>
      <c r="E38" s="38" t="s">
        <v>143</v>
      </c>
    </row>
    <row r="39" spans="1:5" ht="51" x14ac:dyDescent="0.2">
      <c r="A39" s="39">
        <v>13</v>
      </c>
      <c r="B39" s="138" t="s">
        <v>170</v>
      </c>
      <c r="C39" s="36"/>
      <c r="D39" s="36"/>
      <c r="E39" s="38" t="s">
        <v>147</v>
      </c>
    </row>
    <row r="40" spans="1:5" ht="25.5" x14ac:dyDescent="0.2">
      <c r="A40" s="39">
        <v>14</v>
      </c>
      <c r="B40" s="138" t="s">
        <v>171</v>
      </c>
      <c r="C40" s="36"/>
      <c r="D40" s="36"/>
      <c r="E40" s="38" t="s">
        <v>144</v>
      </c>
    </row>
    <row r="41" spans="1:5" ht="25.5" x14ac:dyDescent="0.2">
      <c r="A41" s="39" t="s">
        <v>80</v>
      </c>
      <c r="B41" s="135" t="s">
        <v>172</v>
      </c>
      <c r="C41" s="36"/>
      <c r="D41" s="36"/>
      <c r="E41" s="38" t="s">
        <v>145</v>
      </c>
    </row>
    <row r="42" spans="1:5" ht="25.5" x14ac:dyDescent="0.2">
      <c r="A42" s="39" t="s">
        <v>81</v>
      </c>
      <c r="B42" s="135" t="s">
        <v>173</v>
      </c>
      <c r="C42" s="36"/>
      <c r="D42" s="36"/>
      <c r="E42" s="38" t="s">
        <v>146</v>
      </c>
    </row>
    <row r="43" spans="1:5" ht="38.25" x14ac:dyDescent="0.2">
      <c r="A43" s="39">
        <v>15</v>
      </c>
      <c r="B43" s="138" t="s">
        <v>174</v>
      </c>
      <c r="C43" s="36"/>
      <c r="D43" s="36"/>
      <c r="E43" s="38" t="s">
        <v>147</v>
      </c>
    </row>
    <row r="44" spans="1:5" x14ac:dyDescent="0.2">
      <c r="A44" s="39">
        <v>16</v>
      </c>
      <c r="B44" s="138" t="s">
        <v>175</v>
      </c>
      <c r="C44" s="36"/>
      <c r="D44" s="36"/>
      <c r="E44" s="38" t="s">
        <v>75</v>
      </c>
    </row>
    <row r="45" spans="1:5" ht="25.5" x14ac:dyDescent="0.2">
      <c r="A45" s="39">
        <v>17</v>
      </c>
      <c r="B45" s="138" t="s">
        <v>176</v>
      </c>
      <c r="C45" s="36"/>
      <c r="D45" s="36"/>
      <c r="E45" s="38" t="s">
        <v>76</v>
      </c>
    </row>
    <row r="46" spans="1:5" ht="25.5" x14ac:dyDescent="0.2">
      <c r="A46" s="39">
        <v>18</v>
      </c>
      <c r="B46" s="138" t="s">
        <v>177</v>
      </c>
      <c r="E46" s="38" t="s">
        <v>148</v>
      </c>
    </row>
    <row r="47" spans="1:5" x14ac:dyDescent="0.2">
      <c r="A47" s="40"/>
      <c r="B47" s="42"/>
      <c r="C47" s="42"/>
      <c r="D47" s="42"/>
      <c r="E47" s="41"/>
    </row>
  </sheetData>
  <mergeCells count="18">
    <mergeCell ref="B25:C25"/>
    <mergeCell ref="F19:Q19"/>
    <mergeCell ref="E7:E8"/>
    <mergeCell ref="R7:R8"/>
    <mergeCell ref="B7:B8"/>
    <mergeCell ref="C7:C8"/>
    <mergeCell ref="D7:D8"/>
    <mergeCell ref="U1:W1"/>
    <mergeCell ref="S7:S8"/>
    <mergeCell ref="A1:B1"/>
    <mergeCell ref="R3:R4"/>
    <mergeCell ref="F7:Q7"/>
    <mergeCell ref="A7:A8"/>
    <mergeCell ref="A4:B4"/>
    <mergeCell ref="C1:D1"/>
    <mergeCell ref="C2:D2"/>
    <mergeCell ref="C3:D3"/>
    <mergeCell ref="A5:D6"/>
  </mergeCells>
  <phoneticPr fontId="10" type="noConversion"/>
  <conditionalFormatting sqref="C3 C1 A5">
    <cfRule type="cellIs" dxfId="23" priority="18" stopIfTrue="1" operator="equal">
      <formula>""</formula>
    </cfRule>
  </conditionalFormatting>
  <conditionalFormatting sqref="B2">
    <cfRule type="cellIs" dxfId="22" priority="19" stopIfTrue="1" operator="equal">
      <formula>"Titel"</formula>
    </cfRule>
  </conditionalFormatting>
  <conditionalFormatting sqref="B3">
    <cfRule type="cellIs" dxfId="21" priority="20" stopIfTrue="1" operator="equal">
      <formula>"relevanter Organisationsbereich"</formula>
    </cfRule>
  </conditionalFormatting>
  <conditionalFormatting sqref="A2">
    <cfRule type="cellIs" dxfId="20" priority="21" stopIfTrue="1" operator="equal">
      <formula>"[Ziel-Nr]"</formula>
    </cfRule>
  </conditionalFormatting>
  <conditionalFormatting sqref="A1:B1">
    <cfRule type="cellIs" dxfId="19" priority="22" stopIfTrue="1" operator="equal">
      <formula>"Ziel-Kategorie"</formula>
    </cfRule>
  </conditionalFormatting>
  <conditionalFormatting sqref="R19">
    <cfRule type="cellIs" dxfId="18" priority="23" stopIfTrue="1" operator="equal">
      <formula>"red"</formula>
    </cfRule>
    <cfRule type="cellIs" dxfId="17" priority="24" stopIfTrue="1" operator="equal">
      <formula>"yellow"</formula>
    </cfRule>
    <cfRule type="cellIs" dxfId="16" priority="25" stopIfTrue="1" operator="equal">
      <formula>"green"</formula>
    </cfRule>
  </conditionalFormatting>
  <conditionalFormatting sqref="C4:D4">
    <cfRule type="cellIs" dxfId="15" priority="29" stopIfTrue="1" operator="equal">
      <formula>1.001</formula>
    </cfRule>
    <cfRule type="cellIs" dxfId="14" priority="30" stopIfTrue="1" operator="equal">
      <formula>""</formula>
    </cfRule>
  </conditionalFormatting>
  <conditionalFormatting sqref="E19">
    <cfRule type="cellIs" dxfId="13" priority="34" stopIfTrue="1" operator="lessThan">
      <formula>0.9</formula>
    </cfRule>
    <cfRule type="cellIs" dxfId="12" priority="35" stopIfTrue="1" operator="between">
      <formula>0.9</formula>
      <formula>0.999</formula>
    </cfRule>
  </conditionalFormatting>
  <conditionalFormatting sqref="R2">
    <cfRule type="expression" dxfId="11" priority="61" stopIfTrue="1">
      <formula>($V$6&lt;$V$5)</formula>
    </cfRule>
  </conditionalFormatting>
  <conditionalFormatting sqref="R3:R4">
    <cfRule type="expression" dxfId="10" priority="62" stopIfTrue="1">
      <formula>AND($V$6&lt;$V$4,$V$6&gt;=$V$5)</formula>
    </cfRule>
  </conditionalFormatting>
  <conditionalFormatting sqref="R5">
    <cfRule type="expression" dxfId="9" priority="63" stopIfTrue="1">
      <formula>($V$6&gt;=$V$4)</formula>
    </cfRule>
  </conditionalFormatting>
  <conditionalFormatting sqref="R9:R16">
    <cfRule type="cellIs" dxfId="8" priority="73" stopIfTrue="1" operator="equal">
      <formula>$I$23</formula>
    </cfRule>
    <cfRule type="cellIs" dxfId="7" priority="74" stopIfTrue="1" operator="equal">
      <formula>$I$22</formula>
    </cfRule>
    <cfRule type="cellIs" dxfId="6" priority="75" stopIfTrue="1" operator="equal">
      <formula>$I$21</formula>
    </cfRule>
  </conditionalFormatting>
  <conditionalFormatting sqref="R18">
    <cfRule type="cellIs" dxfId="5" priority="6" stopIfTrue="1" operator="equal">
      <formula>$I$23</formula>
    </cfRule>
    <cfRule type="cellIs" dxfId="4" priority="7" stopIfTrue="1" operator="equal">
      <formula>$I$22</formula>
    </cfRule>
    <cfRule type="cellIs" dxfId="3" priority="8" stopIfTrue="1" operator="equal">
      <formula>$I$21</formula>
    </cfRule>
  </conditionalFormatting>
  <conditionalFormatting sqref="R17">
    <cfRule type="cellIs" dxfId="2" priority="3" stopIfTrue="1" operator="equal">
      <formula>$I$23</formula>
    </cfRule>
    <cfRule type="cellIs" dxfId="1" priority="4" stopIfTrue="1" operator="equal">
      <formula>$I$22</formula>
    </cfRule>
    <cfRule type="cellIs" dxfId="0" priority="5" stopIfTrue="1" operator="equal">
      <formula>$I$21</formula>
    </cfRule>
  </conditionalFormatting>
  <conditionalFormatting sqref="X9:X18">
    <cfRule type="colorScale" priority="76">
      <colorScale>
        <cfvo type="min"/>
        <cfvo type="percentile" val="50"/>
        <cfvo type="max"/>
        <color rgb="FFF8696B"/>
        <color rgb="FFFFEB84"/>
        <color rgb="FF63BE7B"/>
      </colorScale>
    </cfRule>
  </conditionalFormatting>
  <dataValidations count="3">
    <dataValidation type="list" allowBlank="1" showInputMessage="1" showErrorMessage="1" sqref="F12:H12 G14:Q18 F9:Q11 K13:Q13 G13:I13 J12:Q12 F13:F18">
      <formula1>$W$2:$W$12</formula1>
    </dataValidation>
    <dataValidation type="list" allowBlank="1" showInputMessage="1" showErrorMessage="1" sqref="A1:B1">
      <formula1>$U$2:$U$12</formula1>
    </dataValidation>
    <dataValidation type="list" allowBlank="1" showInputMessage="1" showErrorMessage="1" sqref="R9:R19">
      <formula1>$I$21:$I$24</formula1>
    </dataValidation>
  </dataValidations>
  <hyperlinks>
    <hyperlink ref="E26" location="Zielblatt!A1" display="A1"/>
    <hyperlink ref="E27" location="Zielblatt!C1" display="C1"/>
    <hyperlink ref="E28" location="Zielblatt!A2" display="A2"/>
    <hyperlink ref="E29" location="Zielblatt!B2" display="B2"/>
    <hyperlink ref="E31" location="Zielblatt!A5" display="A5"/>
    <hyperlink ref="E32" location="Zielblatt!C4" display="C4"/>
    <hyperlink ref="E34" location="Zielblatt!E1" display="Grafik"/>
    <hyperlink ref="E35" location="Zielblatt!B9:B17" display="B9:B16"/>
    <hyperlink ref="E36" location="Zielblatt!C9:C17" display="C9:C16"/>
    <hyperlink ref="E37" location="Zielblatt!D9:D17" display="D9:D16"/>
    <hyperlink ref="E38" location="Zielblatt!E18" display="E18"/>
    <hyperlink ref="E39" location="Zielblatt!F9:Q17" display="F9:Q17"/>
    <hyperlink ref="E40" location="Zielblatt!S9:S17" display="S9:S17"/>
    <hyperlink ref="E44" location="Tabellenwerte!B7" display="Tabellenwerte!B7"/>
    <hyperlink ref="E45" location="Tabellenwerte!C7:N7" display="Tabellenwerte!C7:N7"/>
    <hyperlink ref="E46" location="Zielblatt!R1" display="R1"/>
    <hyperlink ref="E30" location="Zielblatt!B3" display="B3"/>
    <hyperlink ref="E41" location="Tabellenwerte!P11:R19" display="P11:R19"/>
    <hyperlink ref="E42" location="Tabellenwerte!C11:N19" display="C11:N19"/>
    <hyperlink ref="E43" location="Zielblatt!F9:Q17" display="F9:Q17"/>
    <hyperlink ref="E33" location="Zielblatt!D4" display="D4"/>
  </hyperlinks>
  <printOptions horizontalCentered="1" verticalCentered="1"/>
  <pageMargins left="0" right="0" top="0" bottom="0" header="0" footer="0.19685039370078741"/>
  <pageSetup paperSize="9" scale="80" orientation="landscape" r:id="rId1"/>
  <headerFooter alignWithMargins="0">
    <oddFooter>&amp;C&amp;9© Robert Bosch GmbH reserves all rights even in the event of industrial property rights. We reserve all rights of disposal such as copying and passing on to third parties. Printed copies are working copies only.</oddFooter>
  </headerFooter>
  <drawing r:id="rId2"/>
  <legacyDrawing r:id="rId3"/>
  <oleObjects>
    <mc:AlternateContent xmlns:mc="http://schemas.openxmlformats.org/markup-compatibility/2006">
      <mc:Choice Requires="x14">
        <oleObject progId="MS_ClipArt_Gallery" shapeId="1585" r:id="rId4">
          <objectPr defaultSize="0" autoPict="0" r:id="rId5">
            <anchor moveWithCells="1" sizeWithCells="1">
              <from>
                <xdr:col>1</xdr:col>
                <xdr:colOff>638175</xdr:colOff>
                <xdr:row>20</xdr:row>
                <xdr:rowOff>190500</xdr:rowOff>
              </from>
              <to>
                <xdr:col>1</xdr:col>
                <xdr:colOff>923925</xdr:colOff>
                <xdr:row>21</xdr:row>
                <xdr:rowOff>219075</xdr:rowOff>
              </to>
            </anchor>
          </objectPr>
        </oleObject>
      </mc:Choice>
      <mc:Fallback>
        <oleObject progId="MS_ClipArt_Gallery" shapeId="1585" r:id="rId4"/>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O7"/>
  <sheetViews>
    <sheetView zoomScaleNormal="100" workbookViewId="0">
      <selection activeCell="F8" sqref="F8"/>
    </sheetView>
  </sheetViews>
  <sheetFormatPr defaultColWidth="11.42578125" defaultRowHeight="12.75" x14ac:dyDescent="0.2"/>
  <cols>
    <col min="1" max="1" width="18.5703125" style="9" bestFit="1" customWidth="1"/>
    <col min="2" max="2" width="19.42578125" style="9" customWidth="1"/>
    <col min="3" max="3" width="11.85546875" style="9" bestFit="1" customWidth="1"/>
    <col min="4" max="4" width="10.140625" style="9" bestFit="1" customWidth="1"/>
    <col min="5" max="14" width="10" style="9" bestFit="1" customWidth="1"/>
    <col min="15" max="15" width="6.5703125" style="9" customWidth="1"/>
    <col min="16" max="16384" width="11.42578125" style="9"/>
  </cols>
  <sheetData>
    <row r="1" spans="1:15" s="6" customFormat="1" ht="24.75" customHeight="1" x14ac:dyDescent="0.2">
      <c r="A1" s="35">
        <f>Zielblatt!C1</f>
        <v>2018</v>
      </c>
      <c r="B1" s="7" t="s">
        <v>4</v>
      </c>
      <c r="C1" s="7"/>
      <c r="D1" s="7"/>
      <c r="E1" s="7"/>
      <c r="F1" s="7"/>
      <c r="G1" s="7"/>
      <c r="H1" s="7"/>
      <c r="I1" s="7"/>
      <c r="J1" s="7"/>
      <c r="K1" s="7"/>
      <c r="L1" s="7"/>
      <c r="M1" s="7"/>
      <c r="N1" s="7"/>
    </row>
    <row r="2" spans="1:15" s="6" customFormat="1" x14ac:dyDescent="0.2">
      <c r="A2" s="26"/>
      <c r="B2" s="22" t="str">
        <f>IF(C7="","X","")</f>
        <v/>
      </c>
      <c r="C2" s="22" t="str">
        <f>IF(AND(D7="",C7&lt;&gt;""),"X","")</f>
        <v/>
      </c>
      <c r="D2" s="22" t="str">
        <f t="shared" ref="D2:M2" si="0">IF(AND(E7="",D7&lt;&gt;""),"X","")</f>
        <v/>
      </c>
      <c r="E2" s="22" t="str">
        <f t="shared" si="0"/>
        <v/>
      </c>
      <c r="F2" s="22" t="str">
        <f t="shared" si="0"/>
        <v/>
      </c>
      <c r="G2" s="22" t="str">
        <f t="shared" si="0"/>
        <v/>
      </c>
      <c r="H2" s="22" t="str">
        <f t="shared" si="0"/>
        <v/>
      </c>
      <c r="I2" s="22" t="str">
        <f t="shared" si="0"/>
        <v/>
      </c>
      <c r="J2" s="22" t="str">
        <f t="shared" si="0"/>
        <v/>
      </c>
      <c r="K2" s="22" t="str">
        <f t="shared" si="0"/>
        <v/>
      </c>
      <c r="L2" s="22" t="str">
        <f t="shared" si="0"/>
        <v/>
      </c>
      <c r="M2" s="22" t="str">
        <f t="shared" si="0"/>
        <v/>
      </c>
      <c r="N2" s="22" t="str">
        <f>IF(N7&lt;&gt;"","X","")</f>
        <v>X</v>
      </c>
      <c r="O2" s="24" t="s">
        <v>50</v>
      </c>
    </row>
    <row r="3" spans="1:15" s="8" customFormat="1" x14ac:dyDescent="0.2">
      <c r="A3" s="25"/>
      <c r="B3" s="70">
        <f>DATE($A$1-1,12,31)</f>
        <v>43100</v>
      </c>
      <c r="C3" s="70">
        <f>DATE($A$1,1,31)</f>
        <v>43131</v>
      </c>
      <c r="D3" s="70">
        <f>DATE($A$1,2,28)</f>
        <v>43159</v>
      </c>
      <c r="E3" s="70">
        <f>DATE($A$1,3,31)</f>
        <v>43190</v>
      </c>
      <c r="F3" s="70">
        <f>DATE($A$1,4,30)</f>
        <v>43220</v>
      </c>
      <c r="G3" s="70">
        <f>DATE($A$1,5,31)</f>
        <v>43251</v>
      </c>
      <c r="H3" s="70">
        <f>DATE($A$1,6,30)</f>
        <v>43281</v>
      </c>
      <c r="I3" s="70">
        <f>DATE($A$1,7,31)</f>
        <v>43312</v>
      </c>
      <c r="J3" s="70">
        <f>DATE($A$1,8,31)</f>
        <v>43343</v>
      </c>
      <c r="K3" s="70">
        <f>DATE($A$1,9,30)</f>
        <v>43373</v>
      </c>
      <c r="L3" s="70">
        <f>DATE($A$1,10,31)</f>
        <v>43404</v>
      </c>
      <c r="M3" s="70">
        <f>DATE($A$1,11,30)</f>
        <v>43434</v>
      </c>
      <c r="N3" s="70">
        <f>DATE($A$1,12,31)</f>
        <v>43465</v>
      </c>
      <c r="O3" s="70">
        <f>HLOOKUP("X",B2:N7,2,0)</f>
        <v>43465</v>
      </c>
    </row>
    <row r="4" spans="1:15" s="8" customFormat="1" x14ac:dyDescent="0.2">
      <c r="A4" s="78" t="s">
        <v>110</v>
      </c>
      <c r="B4" s="23"/>
      <c r="C4" s="73">
        <f>Zielblatt!C4</f>
        <v>1</v>
      </c>
      <c r="D4" s="73">
        <f>C4</f>
        <v>1</v>
      </c>
      <c r="E4" s="73">
        <f t="shared" ref="E4:N4" si="1">D4</f>
        <v>1</v>
      </c>
      <c r="F4" s="73">
        <f t="shared" si="1"/>
        <v>1</v>
      </c>
      <c r="G4" s="73">
        <f t="shared" si="1"/>
        <v>1</v>
      </c>
      <c r="H4" s="73">
        <f t="shared" si="1"/>
        <v>1</v>
      </c>
      <c r="I4" s="73">
        <f t="shared" si="1"/>
        <v>1</v>
      </c>
      <c r="J4" s="73">
        <f t="shared" si="1"/>
        <v>1</v>
      </c>
      <c r="K4" s="73">
        <f t="shared" si="1"/>
        <v>1</v>
      </c>
      <c r="L4" s="73">
        <f t="shared" si="1"/>
        <v>1</v>
      </c>
      <c r="M4" s="73">
        <f t="shared" si="1"/>
        <v>1</v>
      </c>
      <c r="N4" s="73">
        <f t="shared" si="1"/>
        <v>1</v>
      </c>
      <c r="O4" s="24"/>
    </row>
    <row r="5" spans="1:15" x14ac:dyDescent="0.2">
      <c r="A5" s="77" t="s">
        <v>109</v>
      </c>
      <c r="B5" s="31">
        <f>B7</f>
        <v>0</v>
      </c>
      <c r="C5" s="73">
        <v>0</v>
      </c>
      <c r="D5" s="73">
        <v>0</v>
      </c>
      <c r="E5" s="73">
        <v>0</v>
      </c>
      <c r="F5" s="73">
        <v>0.1</v>
      </c>
      <c r="G5" s="172">
        <v>0.2</v>
      </c>
      <c r="H5" s="73">
        <v>0.30709999999999998</v>
      </c>
      <c r="I5" s="73">
        <v>0.4143</v>
      </c>
      <c r="J5" s="73">
        <v>0.51139999999999997</v>
      </c>
      <c r="K5" s="73">
        <v>0.75190000000000001</v>
      </c>
      <c r="L5" s="73">
        <v>0.86240000000000006</v>
      </c>
      <c r="M5" s="73">
        <v>0.97289999999999999</v>
      </c>
      <c r="N5" s="73">
        <v>1</v>
      </c>
      <c r="O5" s="32">
        <f>HLOOKUP("X",B2:N7,4,0)</f>
        <v>1</v>
      </c>
    </row>
    <row r="6" spans="1:15" x14ac:dyDescent="0.2">
      <c r="A6" s="77" t="s">
        <v>108</v>
      </c>
      <c r="B6" s="31">
        <f>B5</f>
        <v>0</v>
      </c>
      <c r="C6" s="73">
        <v>0</v>
      </c>
      <c r="D6" s="73">
        <v>0</v>
      </c>
      <c r="E6" s="73">
        <v>0</v>
      </c>
      <c r="F6" s="73">
        <v>0</v>
      </c>
      <c r="G6" s="73">
        <v>0</v>
      </c>
      <c r="H6" s="73">
        <v>0</v>
      </c>
      <c r="I6" s="73">
        <v>0</v>
      </c>
      <c r="J6" s="73">
        <v>0</v>
      </c>
      <c r="K6" s="73">
        <v>0</v>
      </c>
      <c r="L6" s="73">
        <v>0</v>
      </c>
      <c r="M6" s="73">
        <v>0</v>
      </c>
      <c r="N6" s="73">
        <v>0</v>
      </c>
      <c r="O6" s="32">
        <f>HLOOKUP("X",B2:N7,5,0)</f>
        <v>0</v>
      </c>
    </row>
    <row r="7" spans="1:15" x14ac:dyDescent="0.2">
      <c r="A7" s="77" t="s">
        <v>129</v>
      </c>
      <c r="B7" s="72">
        <v>0</v>
      </c>
      <c r="C7" s="72">
        <v>0</v>
      </c>
      <c r="D7" s="72">
        <v>0</v>
      </c>
      <c r="E7" s="72">
        <v>0.05</v>
      </c>
      <c r="F7" s="72">
        <v>0.1</v>
      </c>
      <c r="G7" s="72">
        <v>0</v>
      </c>
      <c r="H7" s="72">
        <v>0</v>
      </c>
      <c r="I7" s="72">
        <v>0</v>
      </c>
      <c r="J7" s="72">
        <v>0</v>
      </c>
      <c r="K7" s="72">
        <v>0</v>
      </c>
      <c r="L7" s="72">
        <v>0</v>
      </c>
      <c r="M7" s="72">
        <v>0</v>
      </c>
      <c r="N7" s="72">
        <v>0</v>
      </c>
      <c r="O7" s="32">
        <f>IF(HLOOKUP("X",B2:N7,6,0)="n.a.",O5,HLOOKUP("X",B2:N7,6,0))</f>
        <v>0</v>
      </c>
    </row>
  </sheetData>
  <phoneticPr fontId="10" type="noConversion"/>
  <pageMargins left="0.62992125984251968" right="0.51181102362204722" top="0.74803149606299213" bottom="0.78740157480314965" header="0.19685039370078741" footer="0.35433070866141736"/>
  <pageSetup paperSize="9" scale="82" orientation="landscape" r:id="rId1"/>
  <headerFooter alignWithMargins="0">
    <oddHeader>&amp;LCC/EPH-D - Galm&amp;CTemplate
PDCA-Chart&amp;RDocument Id:QSTL2056
Date : 14.06.2011</oddHeader>
    <oddFooter>&amp;LPDCA&amp;C&amp;8© Robert Bosch GmbH reserves all rights even in the event of industrial property rights. We reserve all rights of disposal such as copying and passing on to third parties. Printed copies are working copies only.
&amp;RReleased</oddFooter>
  </headerFooter>
  <ignoredErrors>
    <ignoredError sqref="A1" unlockedFormula="1"/>
  </ignoredError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B33"/>
  <sheetViews>
    <sheetView workbookViewId="0">
      <selection activeCell="B15" sqref="B15"/>
    </sheetView>
  </sheetViews>
  <sheetFormatPr defaultColWidth="11.42578125" defaultRowHeight="15" x14ac:dyDescent="0.2"/>
  <cols>
    <col min="1" max="1" width="7.140625" style="10" customWidth="1"/>
    <col min="2" max="2" width="94" style="11" customWidth="1"/>
    <col min="3" max="16384" width="11.42578125" style="10"/>
  </cols>
  <sheetData>
    <row r="1" spans="1:2" ht="15.75" x14ac:dyDescent="0.25">
      <c r="A1" s="203" t="s">
        <v>5</v>
      </c>
      <c r="B1" s="203"/>
    </row>
    <row r="3" spans="1:2" ht="30" x14ac:dyDescent="0.2">
      <c r="B3" s="11" t="s">
        <v>13</v>
      </c>
    </row>
    <row r="4" spans="1:2" x14ac:dyDescent="0.2">
      <c r="B4" s="11" t="s">
        <v>9</v>
      </c>
    </row>
    <row r="5" spans="1:2" x14ac:dyDescent="0.2">
      <c r="B5" s="11" t="s">
        <v>10</v>
      </c>
    </row>
    <row r="6" spans="1:2" x14ac:dyDescent="0.2">
      <c r="B6" s="11" t="s">
        <v>11</v>
      </c>
    </row>
    <row r="8" spans="1:2" ht="15.75" x14ac:dyDescent="0.25">
      <c r="A8" s="203" t="s">
        <v>6</v>
      </c>
      <c r="B8" s="203"/>
    </row>
    <row r="9" spans="1:2" ht="30" x14ac:dyDescent="0.2">
      <c r="B9" s="11" t="s">
        <v>7</v>
      </c>
    </row>
    <row r="10" spans="1:2" ht="30" x14ac:dyDescent="0.2">
      <c r="B10" s="11" t="s">
        <v>64</v>
      </c>
    </row>
    <row r="11" spans="1:2" ht="30" x14ac:dyDescent="0.2">
      <c r="B11" s="11" t="s">
        <v>41</v>
      </c>
    </row>
    <row r="12" spans="1:2" ht="30" x14ac:dyDescent="0.2">
      <c r="B12" s="11" t="s">
        <v>65</v>
      </c>
    </row>
    <row r="13" spans="1:2" ht="30" x14ac:dyDescent="0.2">
      <c r="B13" s="11" t="s">
        <v>62</v>
      </c>
    </row>
    <row r="15" spans="1:2" ht="30.75" x14ac:dyDescent="0.25">
      <c r="B15" s="11" t="s">
        <v>66</v>
      </c>
    </row>
    <row r="16" spans="1:2" ht="60" x14ac:dyDescent="0.2">
      <c r="B16" s="11" t="s">
        <v>63</v>
      </c>
    </row>
    <row r="17" spans="1:2" ht="60" x14ac:dyDescent="0.2">
      <c r="B17" s="11" t="s">
        <v>61</v>
      </c>
    </row>
    <row r="19" spans="1:2" ht="30" x14ac:dyDescent="0.2">
      <c r="B19" s="11" t="s">
        <v>60</v>
      </c>
    </row>
    <row r="21" spans="1:2" ht="15.75" x14ac:dyDescent="0.25">
      <c r="A21" s="204" t="s">
        <v>8</v>
      </c>
      <c r="B21" s="204"/>
    </row>
    <row r="22" spans="1:2" x14ac:dyDescent="0.2">
      <c r="B22" s="11" t="s">
        <v>59</v>
      </c>
    </row>
    <row r="23" spans="1:2" ht="30" x14ac:dyDescent="0.2">
      <c r="A23" s="12" t="s">
        <v>1</v>
      </c>
      <c r="B23" s="11" t="s">
        <v>43</v>
      </c>
    </row>
    <row r="24" spans="1:2" ht="15.75" x14ac:dyDescent="0.2">
      <c r="A24" s="13"/>
    </row>
    <row r="25" spans="1:2" ht="60" x14ac:dyDescent="0.2">
      <c r="A25" s="14" t="s">
        <v>2</v>
      </c>
      <c r="B25" s="11" t="s">
        <v>57</v>
      </c>
    </row>
    <row r="26" spans="1:2" ht="15.75" x14ac:dyDescent="0.2">
      <c r="A26" s="13"/>
    </row>
    <row r="27" spans="1:2" ht="90" x14ac:dyDescent="0.2">
      <c r="A27" s="15" t="s">
        <v>3</v>
      </c>
      <c r="B27" s="11" t="s">
        <v>58</v>
      </c>
    </row>
    <row r="29" spans="1:2" x14ac:dyDescent="0.2">
      <c r="B29" s="11" t="s">
        <v>42</v>
      </c>
    </row>
    <row r="33" spans="2:2" x14ac:dyDescent="0.2">
      <c r="B33" s="11" t="s">
        <v>12</v>
      </c>
    </row>
  </sheetData>
  <mergeCells count="3">
    <mergeCell ref="A1:B1"/>
    <mergeCell ref="A8:B8"/>
    <mergeCell ref="A21:B21"/>
  </mergeCells>
  <phoneticPr fontId="10" type="noConversion"/>
  <pageMargins left="0.62992125984251968" right="0.51181102362204722" top="0.74803149606299213" bottom="0.78740157480314965" header="0.19685039370078741" footer="0.35433070866141736"/>
  <pageSetup paperSize="9" scale="82" orientation="portrait" r:id="rId1"/>
  <headerFooter alignWithMargins="0">
    <oddHeader>&amp;LCC/EPH-D - Galm&amp;CTemplate
PDCA-Chart&amp;RDocument Id:QSTL2056
Date : 14.06.2011</oddHeader>
    <oddFooter>&amp;LPDCA&amp;C&amp;8© Robert Bosch GmbH reserves all rights even in the event of industrial property rights. We reserve all rights of disposal such as copying and passing on to third parties. Printed copies are working copies only.
&amp;RReleased</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6"/>
  <sheetViews>
    <sheetView workbookViewId="0">
      <selection activeCell="C12" sqref="C12"/>
    </sheetView>
  </sheetViews>
  <sheetFormatPr defaultColWidth="11.42578125" defaultRowHeight="12.75" x14ac:dyDescent="0.2"/>
  <cols>
    <col min="1" max="1" width="15" customWidth="1"/>
    <col min="2" max="2" width="11.140625" customWidth="1"/>
    <col min="3" max="3" width="68.7109375" customWidth="1"/>
    <col min="4" max="4" width="12.28515625" bestFit="1" customWidth="1"/>
    <col min="5" max="5" width="13" style="149" customWidth="1"/>
    <col min="6" max="6" width="15.7109375" customWidth="1"/>
  </cols>
  <sheetData>
    <row r="1" spans="1:6" s="39" customFormat="1" ht="18" x14ac:dyDescent="0.2">
      <c r="A1" s="43" t="s">
        <v>82</v>
      </c>
      <c r="B1" s="44"/>
      <c r="C1" s="45"/>
      <c r="D1" s="45"/>
      <c r="E1" s="45"/>
      <c r="F1" s="46"/>
    </row>
    <row r="2" spans="1:6" s="39" customFormat="1" ht="23.25" x14ac:dyDescent="0.2">
      <c r="A2" s="47" t="str">
        <f>LOOKUP(1,1/($A$5:$A$16&lt;&gt;""),$A$5:$A$16)</f>
        <v>2.1</v>
      </c>
      <c r="B2" s="48"/>
      <c r="C2" s="49" t="s">
        <v>90</v>
      </c>
      <c r="D2" s="50"/>
      <c r="E2" s="51"/>
      <c r="F2" s="52"/>
    </row>
    <row r="3" spans="1:6" s="39" customFormat="1" x14ac:dyDescent="0.2">
      <c r="A3" s="53"/>
      <c r="B3" s="48"/>
      <c r="C3" s="51"/>
      <c r="D3" s="51"/>
      <c r="E3" s="51"/>
      <c r="F3" s="54"/>
    </row>
    <row r="4" spans="1:6" s="39" customFormat="1" x14ac:dyDescent="0.2">
      <c r="A4" s="55" t="s">
        <v>83</v>
      </c>
      <c r="B4" s="56" t="s">
        <v>84</v>
      </c>
      <c r="C4" s="57" t="s">
        <v>85</v>
      </c>
      <c r="D4" s="57" t="s">
        <v>86</v>
      </c>
      <c r="E4" s="57" t="s">
        <v>87</v>
      </c>
      <c r="F4" s="58" t="s">
        <v>88</v>
      </c>
    </row>
    <row r="5" spans="1:6" s="39" customFormat="1" x14ac:dyDescent="0.2">
      <c r="A5" s="65" t="s">
        <v>95</v>
      </c>
      <c r="B5" s="60">
        <v>40135</v>
      </c>
      <c r="C5" s="61" t="s">
        <v>96</v>
      </c>
      <c r="D5" s="59" t="s">
        <v>89</v>
      </c>
      <c r="E5" s="147" t="s">
        <v>97</v>
      </c>
      <c r="F5" s="62">
        <v>40135</v>
      </c>
    </row>
    <row r="6" spans="1:6" s="39" customFormat="1" x14ac:dyDescent="0.2">
      <c r="A6" s="63" t="s">
        <v>93</v>
      </c>
      <c r="B6" s="60">
        <v>40247</v>
      </c>
      <c r="C6" s="61" t="s">
        <v>94</v>
      </c>
      <c r="D6" s="59" t="s">
        <v>89</v>
      </c>
      <c r="E6" s="147" t="s">
        <v>98</v>
      </c>
      <c r="F6" s="62">
        <v>40247</v>
      </c>
    </row>
    <row r="7" spans="1:6" s="39" customFormat="1" ht="63.75" x14ac:dyDescent="0.2">
      <c r="A7" s="63" t="s">
        <v>91</v>
      </c>
      <c r="B7" s="60">
        <v>40359</v>
      </c>
      <c r="C7" s="64" t="s">
        <v>92</v>
      </c>
      <c r="D7" s="59" t="s">
        <v>89</v>
      </c>
      <c r="E7" s="147" t="s">
        <v>98</v>
      </c>
      <c r="F7" s="62">
        <v>40359</v>
      </c>
    </row>
    <row r="8" spans="1:6" s="39" customFormat="1" ht="38.25" x14ac:dyDescent="0.2">
      <c r="A8" s="63" t="s">
        <v>99</v>
      </c>
      <c r="B8" s="60">
        <v>40604</v>
      </c>
      <c r="C8" s="61" t="s">
        <v>102</v>
      </c>
      <c r="D8" s="59" t="s">
        <v>89</v>
      </c>
      <c r="E8" s="147"/>
      <c r="F8" s="62"/>
    </row>
    <row r="9" spans="1:6" s="39" customFormat="1" ht="38.25" x14ac:dyDescent="0.2">
      <c r="A9" s="63" t="s">
        <v>100</v>
      </c>
      <c r="B9" s="60">
        <v>40708</v>
      </c>
      <c r="C9" s="61" t="s">
        <v>101</v>
      </c>
      <c r="D9" s="59" t="s">
        <v>89</v>
      </c>
      <c r="E9" s="147"/>
      <c r="F9" s="62"/>
    </row>
    <row r="10" spans="1:6" s="39" customFormat="1" x14ac:dyDescent="0.2">
      <c r="A10" s="97" t="s">
        <v>149</v>
      </c>
      <c r="B10" s="60">
        <v>41397</v>
      </c>
      <c r="C10" s="61" t="s">
        <v>150</v>
      </c>
      <c r="D10" s="98" t="s">
        <v>151</v>
      </c>
      <c r="E10" s="148" t="s">
        <v>103</v>
      </c>
      <c r="F10" s="150" t="s">
        <v>187</v>
      </c>
    </row>
    <row r="11" spans="1:6" s="39" customFormat="1" ht="51" x14ac:dyDescent="0.2">
      <c r="A11" s="97" t="s">
        <v>188</v>
      </c>
      <c r="B11" s="60">
        <v>42048</v>
      </c>
      <c r="C11" s="64" t="s">
        <v>184</v>
      </c>
      <c r="D11" s="98" t="s">
        <v>183</v>
      </c>
      <c r="E11" s="148" t="s">
        <v>186</v>
      </c>
      <c r="F11" s="62">
        <v>42048</v>
      </c>
    </row>
    <row r="12" spans="1:6" s="39" customFormat="1" x14ac:dyDescent="0.2">
      <c r="A12" s="159" t="s">
        <v>189</v>
      </c>
      <c r="B12" s="60">
        <v>43147</v>
      </c>
      <c r="C12" s="61" t="s">
        <v>192</v>
      </c>
      <c r="D12" s="98" t="s">
        <v>190</v>
      </c>
      <c r="E12" s="148" t="s">
        <v>191</v>
      </c>
      <c r="F12" s="62"/>
    </row>
    <row r="13" spans="1:6" s="39" customFormat="1" x14ac:dyDescent="0.2">
      <c r="A13" s="59"/>
      <c r="B13" s="60"/>
      <c r="C13" s="61"/>
      <c r="D13" s="59"/>
      <c r="E13" s="147"/>
      <c r="F13" s="62"/>
    </row>
    <row r="14" spans="1:6" s="39" customFormat="1" x14ac:dyDescent="0.2">
      <c r="A14" s="59"/>
      <c r="B14" s="60"/>
      <c r="C14" s="61"/>
      <c r="D14" s="59"/>
      <c r="E14" s="147"/>
      <c r="F14" s="62"/>
    </row>
    <row r="15" spans="1:6" s="39" customFormat="1" x14ac:dyDescent="0.2">
      <c r="A15" s="59"/>
      <c r="B15" s="60"/>
      <c r="C15" s="61"/>
      <c r="D15" s="59"/>
      <c r="E15" s="147"/>
      <c r="F15" s="62"/>
    </row>
    <row r="16" spans="1:6" s="39" customFormat="1" x14ac:dyDescent="0.2">
      <c r="A16" s="59"/>
      <c r="B16" s="60"/>
      <c r="C16" s="64"/>
      <c r="D16" s="59"/>
      <c r="E16" s="147"/>
      <c r="F16" s="62"/>
    </row>
  </sheetData>
  <phoneticPr fontId="10" type="noConversion"/>
  <pageMargins left="0.62992125984251968" right="0.51181102362204722" top="0.74803149606299213" bottom="0.78740157480314965" header="0.19685039370078741" footer="0.35433070866141736"/>
  <pageSetup paperSize="9" orientation="landscape" r:id="rId1"/>
  <headerFooter alignWithMargins="0">
    <oddHeader>&amp;LCC/EPH-D - Galm&amp;CTemplate
PDCA-Chart&amp;RDocument Id:QSTL2056
Date : 14.06.2011</oddHeader>
    <oddFooter>&amp;LPDCA&amp;C&amp;8© Robert Bosch GmbH reserves all rights even in the event of industrial property rights. We reserve all rights of disposal such as copying and passing on to third parties. Printed copies are working copies only.
&amp;RReleased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2:F15"/>
  <sheetViews>
    <sheetView workbookViewId="0"/>
  </sheetViews>
  <sheetFormatPr defaultColWidth="11.42578125" defaultRowHeight="12.75" x14ac:dyDescent="0.2"/>
  <sheetData>
    <row r="2" spans="1:6" x14ac:dyDescent="0.2">
      <c r="C2" s="16" t="s">
        <v>15</v>
      </c>
      <c r="D2" s="17">
        <v>1</v>
      </c>
      <c r="E2" s="16" t="s">
        <v>16</v>
      </c>
      <c r="F2" s="18">
        <v>36097</v>
      </c>
    </row>
    <row r="3" spans="1:6" x14ac:dyDescent="0.2">
      <c r="C3" s="16" t="s">
        <v>17</v>
      </c>
      <c r="D3" s="17">
        <v>0</v>
      </c>
      <c r="E3" s="16" t="s">
        <v>18</v>
      </c>
      <c r="F3" s="18">
        <v>36991</v>
      </c>
    </row>
    <row r="5" spans="1:6" x14ac:dyDescent="0.2">
      <c r="A5" s="17">
        <v>13.760300000000001</v>
      </c>
      <c r="B5" s="17">
        <f>1/ 13.7603</f>
        <v>7.2672834167859704E-2</v>
      </c>
      <c r="C5" s="16" t="s">
        <v>19</v>
      </c>
      <c r="D5" s="17">
        <v>13.760300000000001</v>
      </c>
      <c r="E5" s="16" t="s">
        <v>20</v>
      </c>
      <c r="F5" s="18">
        <v>36525</v>
      </c>
    </row>
    <row r="6" spans="1:6" x14ac:dyDescent="0.2">
      <c r="A6" s="17">
        <v>40.3399</v>
      </c>
      <c r="B6" s="17">
        <f>1/ 40.3399</f>
        <v>2.4789352477323941E-2</v>
      </c>
      <c r="C6" s="16" t="s">
        <v>21</v>
      </c>
      <c r="D6" s="17">
        <v>40.3399</v>
      </c>
      <c r="E6" s="16" t="s">
        <v>22</v>
      </c>
      <c r="F6" s="18">
        <v>36525</v>
      </c>
    </row>
    <row r="7" spans="1:6" x14ac:dyDescent="0.2">
      <c r="A7" s="17">
        <v>1.95583</v>
      </c>
      <c r="B7" s="17">
        <f>1/ 1.95583</f>
        <v>0.51129188119621849</v>
      </c>
      <c r="C7" s="16" t="s">
        <v>23</v>
      </c>
      <c r="D7" s="17">
        <v>1.95583</v>
      </c>
      <c r="E7" s="16" t="s">
        <v>24</v>
      </c>
      <c r="F7" s="18">
        <v>36525</v>
      </c>
    </row>
    <row r="8" spans="1:6" x14ac:dyDescent="0.2">
      <c r="A8" s="17">
        <v>166.386</v>
      </c>
      <c r="B8" s="17">
        <f>1/ 166.386</f>
        <v>6.0101210438378233E-3</v>
      </c>
      <c r="C8" s="16" t="s">
        <v>25</v>
      </c>
      <c r="D8" s="17">
        <v>166.386</v>
      </c>
      <c r="E8" s="16" t="s">
        <v>26</v>
      </c>
      <c r="F8" s="18">
        <v>36525</v>
      </c>
    </row>
    <row r="9" spans="1:6" x14ac:dyDescent="0.2">
      <c r="A9" s="17">
        <v>5.9457300000000002</v>
      </c>
      <c r="B9" s="17">
        <f>1/ 5.94573</f>
        <v>0.16818792646151104</v>
      </c>
      <c r="C9" s="16" t="s">
        <v>27</v>
      </c>
      <c r="D9" s="17">
        <v>5.9457300000000002</v>
      </c>
      <c r="E9" s="16" t="s">
        <v>28</v>
      </c>
      <c r="F9" s="18">
        <v>36525</v>
      </c>
    </row>
    <row r="10" spans="1:6" x14ac:dyDescent="0.2">
      <c r="A10" s="17">
        <v>6.5595699999999999</v>
      </c>
      <c r="B10" s="17">
        <f>1/ 6.55957</f>
        <v>0.15244901723741039</v>
      </c>
      <c r="C10" s="16" t="s">
        <v>29</v>
      </c>
      <c r="D10" s="17">
        <v>6.5595699999999999</v>
      </c>
      <c r="E10" s="16" t="s">
        <v>30</v>
      </c>
      <c r="F10" s="18">
        <v>36525</v>
      </c>
    </row>
    <row r="11" spans="1:6" x14ac:dyDescent="0.2">
      <c r="A11" s="17">
        <v>0.78756400000000004</v>
      </c>
      <c r="B11" s="17">
        <f>1/ 0.787564</f>
        <v>1.2697380784291816</v>
      </c>
      <c r="C11" s="16" t="s">
        <v>31</v>
      </c>
      <c r="D11" s="17">
        <v>0.78756400000000004</v>
      </c>
      <c r="E11" s="16" t="s">
        <v>32</v>
      </c>
      <c r="F11" s="18">
        <v>36525</v>
      </c>
    </row>
    <row r="12" spans="1:6" x14ac:dyDescent="0.2">
      <c r="A12" s="17">
        <v>1936.27</v>
      </c>
      <c r="B12" s="17">
        <f>1/ 1936.27</f>
        <v>5.1645689908948644E-4</v>
      </c>
      <c r="C12" s="16" t="s">
        <v>33</v>
      </c>
      <c r="D12" s="17">
        <v>1936.27</v>
      </c>
      <c r="E12" s="16" t="s">
        <v>34</v>
      </c>
      <c r="F12" s="18">
        <v>36525</v>
      </c>
    </row>
    <row r="13" spans="1:6" x14ac:dyDescent="0.2">
      <c r="A13" s="17">
        <v>40.3399</v>
      </c>
      <c r="B13" s="17">
        <f>1/ 40.3399</f>
        <v>2.4789352477323941E-2</v>
      </c>
      <c r="C13" s="16" t="s">
        <v>35</v>
      </c>
      <c r="D13" s="17">
        <v>40.3399</v>
      </c>
      <c r="E13" s="16" t="s">
        <v>36</v>
      </c>
      <c r="F13" s="18">
        <v>36525</v>
      </c>
    </row>
    <row r="14" spans="1:6" x14ac:dyDescent="0.2">
      <c r="A14" s="17">
        <v>2.2037100000000001</v>
      </c>
      <c r="B14" s="17">
        <f>1/ 2.20371</f>
        <v>0.45378021609013891</v>
      </c>
      <c r="C14" s="16" t="s">
        <v>37</v>
      </c>
      <c r="D14" s="17">
        <v>2.2037100000000001</v>
      </c>
      <c r="E14" s="16" t="s">
        <v>38</v>
      </c>
      <c r="F14" s="18">
        <v>36525</v>
      </c>
    </row>
    <row r="15" spans="1:6" x14ac:dyDescent="0.2">
      <c r="A15" s="17">
        <v>200.482</v>
      </c>
      <c r="B15" s="17">
        <f>1/ 200.482</f>
        <v>4.9879789706806597E-3</v>
      </c>
      <c r="C15" s="16" t="s">
        <v>39</v>
      </c>
      <c r="D15" s="17">
        <v>200.482</v>
      </c>
      <c r="E15" s="16" t="s">
        <v>40</v>
      </c>
      <c r="F15" s="18">
        <v>36525</v>
      </c>
    </row>
  </sheetData>
  <phoneticPr fontId="10" type="noConversion"/>
  <pageMargins left="0.78740157499999996" right="0.78740157499999996" top="0.984251969" bottom="0.984251969" header="0.4921259845" footer="0.4921259845"/>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Zielblatt</vt:lpstr>
      <vt:lpstr>Tabellenwerte</vt:lpstr>
      <vt:lpstr>Erklärungen</vt:lpstr>
      <vt:lpstr>History</vt:lpstr>
      <vt:lpstr>Erklärungen!Print_Area</vt:lpstr>
      <vt:lpstr>History!Print_Area</vt:lpstr>
      <vt:lpstr>Tabellenwerte!Print_Area</vt:lpstr>
      <vt:lpstr>Zielblatt!Print_Area</vt:lpstr>
    </vt:vector>
  </TitlesOfParts>
  <Company>Robert Bosch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Zielentfaltungsblatt</dc:title>
  <dc:subject>Policy Deployment</dc:subject>
  <dc:creator>Janka Klebe</dc:creator>
  <cp:lastModifiedBy>Lupsic Balazs (CC-AS/ENG-Bp)</cp:lastModifiedBy>
  <cp:lastPrinted>2018-03-28T15:31:23Z</cp:lastPrinted>
  <dcterms:created xsi:type="dcterms:W3CDTF">1998-12-07T08:07:36Z</dcterms:created>
  <dcterms:modified xsi:type="dcterms:W3CDTF">2018-04-25T11:00:11Z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bteilung">
    <vt:lpwstr>K1/CIP</vt:lpwstr>
  </property>
  <property fmtid="{D5CDD505-2E9C-101B-9397-08002B2CF9AE}" pid="3" name="Eigentümer">
    <vt:lpwstr>K1/CIP</vt:lpwstr>
  </property>
  <property fmtid="{D5CDD505-2E9C-101B-9397-08002B2CF9AE}" pid="4" name="Herausgeber">
    <vt:lpwstr>K1/CIP</vt:lpwstr>
  </property>
</Properties>
</file>